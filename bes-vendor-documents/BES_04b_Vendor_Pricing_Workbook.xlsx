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ssumptions" sheetId="2" state="visible" r:id="rId2"/>
    <sheet xmlns:r="http://schemas.openxmlformats.org/officeDocument/2006/relationships" name="Pricing - Low" sheetId="3" state="visible" r:id="rId3"/>
    <sheet xmlns:r="http://schemas.openxmlformats.org/officeDocument/2006/relationships" name="Pricing - Base" sheetId="4" state="visible" r:id="rId4"/>
    <sheet xmlns:r="http://schemas.openxmlformats.org/officeDocument/2006/relationships" name="Pricing - High"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1F3A5F"/>
      <sz val="15"/>
    </font>
    <font>
      <i val="1"/>
      <color rgb="00595959"/>
    </font>
    <font>
      <b val="1"/>
      <color rgb="00FFFFFF"/>
    </font>
    <font>
      <b val="1"/>
    </font>
  </fonts>
  <fills count="6">
    <fill>
      <patternFill/>
    </fill>
    <fill>
      <patternFill patternType="gray125"/>
    </fill>
    <fill>
      <patternFill patternType="solid">
        <fgColor rgb="00FFF2CC"/>
      </patternFill>
    </fill>
    <fill>
      <patternFill patternType="solid">
        <fgColor rgb="001F3A5F"/>
      </patternFill>
    </fill>
    <fill>
      <patternFill patternType="solid">
        <fgColor rgb="00D9E2F3"/>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1" applyAlignment="1" pivotButton="0" quotePrefix="0" xfId="0">
      <alignment vertical="top" wrapText="1"/>
    </xf>
    <xf numFmtId="0" fontId="0" fillId="2" borderId="1" applyAlignment="1" pivotButton="0" quotePrefix="0" xfId="0">
      <alignment vertical="top" wrapText="1"/>
    </xf>
    <xf numFmtId="0" fontId="3" fillId="3" borderId="1" applyAlignment="1" pivotButton="0" quotePrefix="0" xfId="0">
      <alignment vertical="center" wrapText="1"/>
    </xf>
    <xf numFmtId="0" fontId="4" fillId="4" borderId="1" applyAlignment="1" pivotButton="0" quotePrefix="0" xfId="0">
      <alignment vertical="top" wrapText="1"/>
    </xf>
    <xf numFmtId="0" fontId="4" fillId="0" borderId="0" pivotButton="0" quotePrefix="0" xfId="0"/>
    <xf numFmtId="164" fontId="0" fillId="2" borderId="0" pivotButton="0" quotePrefix="0" xfId="0"/>
    <xf numFmtId="4" fontId="0" fillId="2" borderId="1" applyAlignment="1" pivotButton="0" quotePrefix="0" xfId="0">
      <alignment vertical="top" wrapText="1"/>
    </xf>
    <xf numFmtId="3" fontId="0" fillId="5" borderId="1" applyAlignment="1" pivotButton="0" quotePrefix="0" xfId="0">
      <alignment vertical="top" wrapText="1"/>
    </xf>
    <xf numFmtId="3" fontId="4" fillId="5"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10" customWidth="1" min="1" max="1"/>
    <col width="40" customWidth="1" min="2" max="2"/>
  </cols>
  <sheetData>
    <row r="1">
      <c r="A1" s="1" t="inlineStr">
        <is>
          <t>BES Vendor Pricing Workbook (companion to the Quotation Request Template, Part E)</t>
        </is>
      </c>
    </row>
    <row r="2">
      <c r="A2" s="2" t="inlineStr">
        <is>
          <t>Vendor to complete yellow cells. Exploratory request – not an offer or commitment by BES.</t>
        </is>
      </c>
    </row>
    <row r="4" ht="40" customHeight="1">
      <c r="A4" s="3" t="inlineStr">
        <is>
          <t>Complete one pricing sheet per scenario (Low, Base, High) using the volumes on 'Assumptions'. If BES has left volumes blank, state your own assumptions on the Assumptions sheet and give unit rates.</t>
        </is>
      </c>
    </row>
    <row r="5" ht="40" customHeight="1">
      <c r="A5" s="3" t="inlineStr">
        <is>
          <t>Quote in Nigerian naira (₦). If any item is priced in another currency, enter the ₦ equivalent AND state the currency, rate used, rate date and how prices can change in the 'Currency / FX basis' column.</t>
        </is>
      </c>
    </row>
    <row r="6" ht="40" customHeight="1">
      <c r="A6" s="3" t="inlineStr">
        <is>
          <t>Enter 0 if an item is included in another line and say which line in Notes. Do not leave blanks.</t>
        </is>
      </c>
    </row>
    <row r="7" ht="40" customHeight="1">
      <c r="A7" s="3" t="inlineStr">
        <is>
          <t>Enter amounts exclusive of VAT in lines 1–11 and show taxes in line 12, or state clearly that amounts are inclusive.</t>
        </is>
      </c>
    </row>
    <row r="8" ht="40" customHeight="1">
      <c r="A8" s="3" t="inlineStr">
        <is>
          <t>Totals calculate automatically: First-year = one-time + monthly × 12 + annual + usage rate × annual usage quantity. Years 2–3 exclude one-time charges and apply the annual price increase you state.</t>
        </is>
      </c>
    </row>
    <row r="9" ht="40" customHeight="1">
      <c r="A9" s="3" t="inlineStr">
        <is>
          <t>Meta/WhatsApp message charges: show separately whether pass-through at cost or with margin, and the basis (message category and country rate) in Notes.</t>
        </is>
      </c>
    </row>
    <row r="10" ht="40" customHeight="1">
      <c r="A10" s="4" t="inlineStr">
        <is>
          <t>Vendor name:</t>
        </is>
      </c>
      <c r="B10" s="4" t="inlineStr"/>
    </row>
    <row r="11" ht="40" customHeight="1">
      <c r="A11" s="4" t="inlineStr">
        <is>
          <t>Date / validity of prices (days):</t>
        </is>
      </c>
      <c r="B11" s="4" t="inlineStr"/>
    </row>
    <row r="12" ht="40" customHeight="1">
      <c r="A12" s="4" t="inlineStr">
        <is>
          <t>Prepared by:</t>
        </is>
      </c>
      <c r="B12"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8" customWidth="1" min="1" max="1"/>
    <col width="16" customWidth="1" min="2" max="2"/>
    <col width="16" customWidth="1" min="3" max="3"/>
    <col width="16" customWidth="1" min="4" max="4"/>
    <col width="60" customWidth="1" min="5" max="5"/>
  </cols>
  <sheetData>
    <row r="1">
      <c r="A1" s="1" t="inlineStr">
        <is>
          <t>Volume and user assumptions</t>
        </is>
      </c>
    </row>
    <row r="2">
      <c r="A2" s="2" t="inlineStr">
        <is>
          <t>BES to complete before sending (yellow). Vendors may add their own assumptions.</t>
        </is>
      </c>
    </row>
    <row r="3">
      <c r="A3" s="5" t="inlineStr">
        <is>
          <t>Assumption</t>
        </is>
      </c>
      <c r="B3" s="5" t="inlineStr">
        <is>
          <t>Low</t>
        </is>
      </c>
      <c r="C3" s="5" t="inlineStr">
        <is>
          <t>Base</t>
        </is>
      </c>
      <c r="D3" s="5" t="inlineStr">
        <is>
          <t>High</t>
        </is>
      </c>
      <c r="E3" s="5" t="inlineStr">
        <is>
          <t>Vendor's own assumptions / notes</t>
        </is>
      </c>
    </row>
    <row r="4">
      <c r="A4" s="6" t="inlineStr">
        <is>
          <t>Named users (see Scope of Work 3.3)</t>
        </is>
      </c>
      <c r="B4" s="4" t="n"/>
      <c r="C4" s="4" t="n"/>
      <c r="D4" s="4" t="n"/>
      <c r="E4" s="4" t="n"/>
    </row>
    <row r="5">
      <c r="A5" s="6" t="inlineStr">
        <is>
          <t>Peak concurrent users</t>
        </is>
      </c>
      <c r="B5" s="4" t="n"/>
      <c r="C5" s="4" t="n"/>
      <c r="D5" s="4" t="n"/>
      <c r="E5" s="4" t="n"/>
    </row>
    <row r="6">
      <c r="A6" s="6" t="inlineStr">
        <is>
          <t>New WhatsApp conversations per month</t>
        </is>
      </c>
      <c r="B6" s="4" t="n"/>
      <c r="C6" s="4" t="n"/>
      <c r="D6" s="4" t="n"/>
      <c r="E6" s="4" t="n"/>
    </row>
    <row r="7">
      <c r="A7" s="6" t="inlineStr">
        <is>
          <t>Average messages per conversation (client + business)</t>
        </is>
      </c>
      <c r="B7" s="4" t="n"/>
      <c r="C7" s="4" t="n"/>
      <c r="D7" s="4" t="n"/>
      <c r="E7" s="4" t="n"/>
    </row>
    <row r="8">
      <c r="A8" s="6" t="inlineStr">
        <is>
          <t>Template (business-initiated) messages per month</t>
        </is>
      </c>
      <c r="B8" s="4" t="n"/>
      <c r="C8" s="4" t="n"/>
      <c r="D8" s="4" t="n"/>
      <c r="E8" s="4" t="n"/>
    </row>
    <row r="9">
      <c r="A9" s="6" t="inlineStr">
        <is>
          <t>Share of conversations handled by AI (%)</t>
        </is>
      </c>
      <c r="B9" s="4" t="n"/>
      <c r="C9" s="4" t="n"/>
      <c r="D9" s="4" t="n"/>
      <c r="E9" s="4" t="n"/>
    </row>
    <row r="10">
      <c r="A10" s="6" t="inlineStr">
        <is>
          <t>Documents stored (count)</t>
        </is>
      </c>
      <c r="B10" s="4" t="n"/>
      <c r="C10" s="4" t="n"/>
      <c r="D10" s="4" t="n"/>
      <c r="E10" s="4" t="n"/>
    </row>
    <row r="11">
      <c r="A11" s="6" t="inlineStr">
        <is>
          <t>Document storage (GB)</t>
        </is>
      </c>
      <c r="B11" s="4" t="n"/>
      <c r="C11" s="4" t="n"/>
      <c r="D11" s="4" t="n"/>
      <c r="E11" s="4" t="n"/>
    </row>
    <row r="12">
      <c r="A12" s="6" t="inlineStr">
        <is>
          <t>Contract term (months)</t>
        </is>
      </c>
      <c r="B12" s="4" t="n"/>
      <c r="C12" s="4" t="n"/>
      <c r="D12" s="4" t="n"/>
      <c r="E12"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34" customWidth="1" min="3" max="3"/>
    <col width="14" customWidth="1" min="4" max="4"/>
    <col width="14" customWidth="1" min="5" max="5"/>
    <col width="14" customWidth="1" min="6" max="6"/>
    <col width="16" customWidth="1" min="7" max="7"/>
    <col width="14" customWidth="1" min="8" max="8"/>
    <col width="16" customWidth="1" min="9" max="9"/>
    <col width="22" customWidth="1" min="10" max="10"/>
    <col width="34" customWidth="1" min="11" max="11"/>
    <col width="18" customWidth="1" min="12" max="12"/>
    <col width="18" customWidth="1" min="13" max="13"/>
    <col width="18" customWidth="1" min="14" max="14"/>
  </cols>
  <sheetData>
    <row r="1">
      <c r="A1" s="1" t="inlineStr">
        <is>
          <t>Itemised pricing – Low scenario (₦)</t>
        </is>
      </c>
    </row>
    <row r="2">
      <c r="A2" s="7" t="inlineStr">
        <is>
          <t>Annual price increase assumed for years 2–3 (%):</t>
        </is>
      </c>
      <c r="D2" s="8" t="n"/>
    </row>
    <row r="4">
      <c r="A4" s="5" t="inlineStr">
        <is>
          <t>#</t>
        </is>
      </c>
      <c r="B4" s="5" t="inlineStr">
        <is>
          <t>Cost item</t>
        </is>
      </c>
      <c r="C4" s="5" t="inlineStr">
        <is>
          <t>What is included / basis</t>
        </is>
      </c>
      <c r="D4" s="5" t="inlineStr">
        <is>
          <t>One-time (₦)</t>
        </is>
      </c>
      <c r="E4" s="5" t="inlineStr">
        <is>
          <t>Monthly (₦)</t>
        </is>
      </c>
      <c r="F4" s="5" t="inlineStr">
        <is>
          <t>Annual (₦)</t>
        </is>
      </c>
      <c r="G4" s="5" t="inlineStr">
        <is>
          <t>Usage rate (₦ per unit)</t>
        </is>
      </c>
      <c r="H4" s="5" t="inlineStr">
        <is>
          <t>Usage unit</t>
        </is>
      </c>
      <c r="I4" s="5" t="inlineStr">
        <is>
          <t>Estimated annual usage (units)</t>
        </is>
      </c>
      <c r="J4" s="5" t="inlineStr">
        <is>
          <t>Currency / FX basis</t>
        </is>
      </c>
      <c r="K4" s="5" t="inlineStr">
        <is>
          <t>Notes</t>
        </is>
      </c>
      <c r="L4" s="5" t="inlineStr">
        <is>
          <t>FIRST-YEAR TOTAL (₦)</t>
        </is>
      </c>
      <c r="M4" s="5" t="inlineStr">
        <is>
          <t>YEAR 2 RECURRING (₦)</t>
        </is>
      </c>
      <c r="N4" s="5" t="inlineStr">
        <is>
          <t>YEAR 3 RECURRING (₦)</t>
        </is>
      </c>
    </row>
    <row r="5" ht="32" customHeight="1">
      <c r="A5" s="3" t="n">
        <v>1</v>
      </c>
      <c r="B5" s="6" t="inlineStr">
        <is>
          <t>Initial implementation</t>
        </is>
      </c>
      <c r="C5" s="4" t="n"/>
      <c r="D5" s="9" t="n"/>
      <c r="E5" s="9" t="n"/>
      <c r="F5" s="9" t="n"/>
      <c r="G5" s="9" t="n"/>
      <c r="H5" s="4" t="n"/>
      <c r="I5" s="9" t="n"/>
      <c r="J5" s="4" t="n"/>
      <c r="K5" s="4" t="n"/>
      <c r="L5" s="10">
        <f>N(D5)+N(E5)*12+N(F5)+N(G5)*N(I5)</f>
        <v/>
      </c>
      <c r="M5" s="10">
        <f>N(E5)*12+N(F5)+N(G5)*N(I5)</f>
        <v/>
      </c>
      <c r="N5" s="10">
        <f>M5*(1+N($D$2))</f>
        <v/>
      </c>
    </row>
    <row r="6" ht="32" customHeight="1">
      <c r="A6" s="3" t="n">
        <v>2</v>
      </c>
      <c r="B6" s="6" t="inlineStr">
        <is>
          <t>WhatsApp integration</t>
        </is>
      </c>
      <c r="C6" s="4" t="n"/>
      <c r="D6" s="9" t="n"/>
      <c r="E6" s="9" t="n"/>
      <c r="F6" s="9" t="n"/>
      <c r="G6" s="9" t="n"/>
      <c r="H6" s="4" t="n"/>
      <c r="I6" s="9" t="n"/>
      <c r="J6" s="4" t="n"/>
      <c r="K6" s="4" t="n"/>
      <c r="L6" s="10">
        <f>N(D6)+N(E6)*12+N(F6)+N(G6)*N(I6)</f>
        <v/>
      </c>
      <c r="M6" s="10">
        <f>N(E6)*12+N(F6)+N(G6)*N(I6)</f>
        <v/>
      </c>
      <c r="N6" s="10">
        <f>M6*(1+N($D$2))</f>
        <v/>
      </c>
    </row>
    <row r="7" ht="32" customHeight="1">
      <c r="A7" s="3" t="n">
        <v>3</v>
      </c>
      <c r="B7" s="6" t="inlineStr">
        <is>
          <t>CRM subscription</t>
        </is>
      </c>
      <c r="C7" s="4" t="n"/>
      <c r="D7" s="9" t="n"/>
      <c r="E7" s="9" t="n"/>
      <c r="F7" s="9" t="n"/>
      <c r="G7" s="9" t="n"/>
      <c r="H7" s="4" t="n"/>
      <c r="I7" s="9" t="n"/>
      <c r="J7" s="4" t="n"/>
      <c r="K7" s="4" t="n"/>
      <c r="L7" s="10">
        <f>N(D7)+N(E7)*12+N(F7)+N(G7)*N(I7)</f>
        <v/>
      </c>
      <c r="M7" s="10">
        <f>N(E7)*12+N(F7)+N(G7)*N(I7)</f>
        <v/>
      </c>
      <c r="N7" s="10">
        <f>M7*(1+N($D$2))</f>
        <v/>
      </c>
    </row>
    <row r="8" ht="32" customHeight="1">
      <c r="A8" s="3" t="n">
        <v>4</v>
      </c>
      <c r="B8" s="6" t="inlineStr">
        <is>
          <t>AI usage</t>
        </is>
      </c>
      <c r="C8" s="4" t="n"/>
      <c r="D8" s="9" t="n"/>
      <c r="E8" s="9" t="n"/>
      <c r="F8" s="9" t="n"/>
      <c r="G8" s="9" t="n"/>
      <c r="H8" s="4" t="n"/>
      <c r="I8" s="9" t="n"/>
      <c r="J8" s="4" t="n"/>
      <c r="K8" s="4" t="n"/>
      <c r="L8" s="10">
        <f>N(D8)+N(E8)*12+N(F8)+N(G8)*N(I8)</f>
        <v/>
      </c>
      <c r="M8" s="10">
        <f>N(E8)*12+N(F8)+N(G8)*N(I8)</f>
        <v/>
      </c>
      <c r="N8" s="10">
        <f>M8*(1+N($D$2))</f>
        <v/>
      </c>
    </row>
    <row r="9" ht="32" customHeight="1">
      <c r="A9" s="3" t="n">
        <v>5</v>
      </c>
      <c r="B9" s="6" t="inlineStr">
        <is>
          <t>WhatsApp messaging (Meta charges)</t>
        </is>
      </c>
      <c r="C9" s="4" t="n"/>
      <c r="D9" s="9" t="n"/>
      <c r="E9" s="9" t="n"/>
      <c r="F9" s="9" t="n"/>
      <c r="G9" s="9" t="n"/>
      <c r="H9" s="4" t="n"/>
      <c r="I9" s="9" t="n"/>
      <c r="J9" s="4" t="n"/>
      <c r="K9" s="4" t="n"/>
      <c r="L9" s="10">
        <f>N(D9)+N(E9)*12+N(F9)+N(G9)*N(I9)</f>
        <v/>
      </c>
      <c r="M9" s="10">
        <f>N(E9)*12+N(F9)+N(G9)*N(I9)</f>
        <v/>
      </c>
      <c r="N9" s="10">
        <f>M9*(1+N($D$2))</f>
        <v/>
      </c>
    </row>
    <row r="10" ht="32" customHeight="1">
      <c r="A10" s="3" t="n">
        <v>6</v>
      </c>
      <c r="B10" s="6" t="inlineStr">
        <is>
          <t>Hosting and storage</t>
        </is>
      </c>
      <c r="C10" s="4" t="n"/>
      <c r="D10" s="9" t="n"/>
      <c r="E10" s="9" t="n"/>
      <c r="F10" s="9" t="n"/>
      <c r="G10" s="9" t="n"/>
      <c r="H10" s="4" t="n"/>
      <c r="I10" s="9" t="n"/>
      <c r="J10" s="4" t="n"/>
      <c r="K10" s="4" t="n"/>
      <c r="L10" s="10">
        <f>N(D10)+N(E10)*12+N(F10)+N(G10)*N(I10)</f>
        <v/>
      </c>
      <c r="M10" s="10">
        <f>N(E10)*12+N(F10)+N(G10)*N(I10)</f>
        <v/>
      </c>
      <c r="N10" s="10">
        <f>M10*(1+N($D$2))</f>
        <v/>
      </c>
    </row>
    <row r="11" ht="32" customHeight="1">
      <c r="A11" s="3" t="n">
        <v>7</v>
      </c>
      <c r="B11" s="6" t="inlineStr">
        <is>
          <t>Custom development</t>
        </is>
      </c>
      <c r="C11" s="4" t="n"/>
      <c r="D11" s="9" t="n"/>
      <c r="E11" s="9" t="n"/>
      <c r="F11" s="9" t="n"/>
      <c r="G11" s="9" t="n"/>
      <c r="H11" s="4" t="n"/>
      <c r="I11" s="9" t="n"/>
      <c r="J11" s="4" t="n"/>
      <c r="K11" s="4" t="n"/>
      <c r="L11" s="10">
        <f>N(D11)+N(E11)*12+N(F11)+N(G11)*N(I11)</f>
        <v/>
      </c>
      <c r="M11" s="10">
        <f>N(E11)*12+N(F11)+N(G11)*N(I11)</f>
        <v/>
      </c>
      <c r="N11" s="10">
        <f>M11*(1+N($D$2))</f>
        <v/>
      </c>
    </row>
    <row r="12" ht="32" customHeight="1">
      <c r="A12" s="3" t="n">
        <v>8</v>
      </c>
      <c r="B12" s="6" t="inlineStr">
        <is>
          <t>Third-party integrations</t>
        </is>
      </c>
      <c r="C12" s="4" t="n"/>
      <c r="D12" s="9" t="n"/>
      <c r="E12" s="9" t="n"/>
      <c r="F12" s="9" t="n"/>
      <c r="G12" s="9" t="n"/>
      <c r="H12" s="4" t="n"/>
      <c r="I12" s="9" t="n"/>
      <c r="J12" s="4" t="n"/>
      <c r="K12" s="4" t="n"/>
      <c r="L12" s="10">
        <f>N(D12)+N(E12)*12+N(F12)+N(G12)*N(I12)</f>
        <v/>
      </c>
      <c r="M12" s="10">
        <f>N(E12)*12+N(F12)+N(G12)*N(I12)</f>
        <v/>
      </c>
      <c r="N12" s="10">
        <f>M12*(1+N($D$2))</f>
        <v/>
      </c>
    </row>
    <row r="13" ht="32" customHeight="1">
      <c r="A13" s="3" t="n">
        <v>9</v>
      </c>
      <c r="B13" s="6" t="inlineStr">
        <is>
          <t>Staff training</t>
        </is>
      </c>
      <c r="C13" s="4" t="n"/>
      <c r="D13" s="9" t="n"/>
      <c r="E13" s="9" t="n"/>
      <c r="F13" s="9" t="n"/>
      <c r="G13" s="9" t="n"/>
      <c r="H13" s="4" t="n"/>
      <c r="I13" s="9" t="n"/>
      <c r="J13" s="4" t="n"/>
      <c r="K13" s="4" t="n"/>
      <c r="L13" s="10">
        <f>N(D13)+N(E13)*12+N(F13)+N(G13)*N(I13)</f>
        <v/>
      </c>
      <c r="M13" s="10">
        <f>N(E13)*12+N(F13)+N(G13)*N(I13)</f>
        <v/>
      </c>
      <c r="N13" s="10">
        <f>M13*(1+N($D$2))</f>
        <v/>
      </c>
    </row>
    <row r="14" ht="32" customHeight="1">
      <c r="A14" s="3" t="n">
        <v>10</v>
      </c>
      <c r="B14" s="6" t="inlineStr">
        <is>
          <t>Maintenance and technical support</t>
        </is>
      </c>
      <c r="C14" s="4" t="n"/>
      <c r="D14" s="9" t="n"/>
      <c r="E14" s="9" t="n"/>
      <c r="F14" s="9" t="n"/>
      <c r="G14" s="9" t="n"/>
      <c r="H14" s="4" t="n"/>
      <c r="I14" s="9" t="n"/>
      <c r="J14" s="4" t="n"/>
      <c r="K14" s="4" t="n"/>
      <c r="L14" s="10">
        <f>N(D14)+N(E14)*12+N(F14)+N(G14)*N(I14)</f>
        <v/>
      </c>
      <c r="M14" s="10">
        <f>N(E14)*12+N(F14)+N(G14)*N(I14)</f>
        <v/>
      </c>
      <c r="N14" s="10">
        <f>M14*(1+N($D$2))</f>
        <v/>
      </c>
    </row>
    <row r="15" ht="32" customHeight="1">
      <c r="A15" s="3" t="n">
        <v>11</v>
      </c>
      <c r="B15" s="6" t="inlineStr">
        <is>
          <t>Additional users</t>
        </is>
      </c>
      <c r="C15" s="4" t="n"/>
      <c r="D15" s="9" t="n"/>
      <c r="E15" s="9" t="n"/>
      <c r="F15" s="9" t="n"/>
      <c r="G15" s="9" t="n"/>
      <c r="H15" s="4" t="n"/>
      <c r="I15" s="9" t="n"/>
      <c r="J15" s="4" t="n"/>
      <c r="K15" s="4" t="n"/>
      <c r="L15" s="10">
        <f>N(D15)+N(E15)*12+N(F15)+N(G15)*N(I15)</f>
        <v/>
      </c>
      <c r="M15" s="10">
        <f>N(E15)*12+N(F15)+N(G15)*N(I15)</f>
        <v/>
      </c>
      <c r="N15" s="10">
        <f>M15*(1+N($D$2))</f>
        <v/>
      </c>
    </row>
    <row r="16" ht="32" customHeight="1">
      <c r="A16" s="3" t="n">
        <v>12</v>
      </c>
      <c r="B16" s="6" t="inlineStr">
        <is>
          <t>Taxes and other charges</t>
        </is>
      </c>
      <c r="C16" s="4" t="n"/>
      <c r="D16" s="9" t="n"/>
      <c r="E16" s="9" t="n"/>
      <c r="F16" s="9" t="n"/>
      <c r="G16" s="9" t="n"/>
      <c r="H16" s="4" t="n"/>
      <c r="I16" s="9" t="n"/>
      <c r="J16" s="4" t="n"/>
      <c r="K16" s="4" t="n"/>
      <c r="L16" s="10">
        <f>N(D16)+N(E16)*12+N(F16)+N(G16)*N(I16)</f>
        <v/>
      </c>
      <c r="M16" s="10">
        <f>N(E16)*12+N(F16)+N(G16)*N(I16)</f>
        <v/>
      </c>
      <c r="N16" s="10">
        <f>M16*(1+N($D$2))</f>
        <v/>
      </c>
    </row>
    <row r="17">
      <c r="B17" s="6" t="inlineStr">
        <is>
          <t>TOTAL</t>
        </is>
      </c>
      <c r="D17" s="11">
        <f>SUM(D5:D16)</f>
        <v/>
      </c>
      <c r="E17" s="11">
        <f>SUM(E5:E16)</f>
        <v/>
      </c>
      <c r="F17" s="11">
        <f>SUM(F5:F16)</f>
        <v/>
      </c>
      <c r="L17" s="11">
        <f>SUM(L5:L16)</f>
        <v/>
      </c>
      <c r="M17" s="11">
        <f>SUM(M5:M16)</f>
        <v/>
      </c>
      <c r="N17" s="11">
        <f>SUM(N5:N16)</f>
        <v/>
      </c>
    </row>
    <row r="19" ht="40" customHeight="1">
      <c r="B19" s="3" t="inlineStr">
        <is>
          <t>Note: Year 2 recurring = monthly × 12 + annual + usage. Year 3 = Year 2 × (1 + annual increase). Taxes in line 12 should be entered as an annual amount if recurring, or as one-time.</t>
        </is>
      </c>
      <c r="C19" s="12" t="n"/>
      <c r="D19" s="12" t="n"/>
      <c r="E19" s="12" t="n"/>
      <c r="F19" s="12" t="n"/>
      <c r="G19" s="12" t="n"/>
      <c r="H19" s="12" t="n"/>
      <c r="I19" s="12" t="n"/>
      <c r="J19" s="12" t="n"/>
      <c r="K19" s="13" t="n"/>
    </row>
    <row r="21">
      <c r="B21" s="6" t="inlineStr">
        <is>
          <t>Other commercial terms</t>
        </is>
      </c>
    </row>
    <row r="22">
      <c r="B22" s="3" t="inlineStr">
        <is>
          <t>Payment schedule</t>
        </is>
      </c>
      <c r="C22" s="4" t="inlineStr"/>
      <c r="D22" s="12" t="n"/>
      <c r="E22" s="12" t="n"/>
      <c r="F22" s="12" t="n"/>
      <c r="G22" s="12" t="n"/>
      <c r="H22" s="12" t="n"/>
      <c r="I22" s="12" t="n"/>
      <c r="J22" s="12" t="n"/>
      <c r="K22" s="13" t="n"/>
    </row>
    <row r="23">
      <c r="B23" s="3" t="inlineStr">
        <is>
          <t>Minimum term / renewal / notice</t>
        </is>
      </c>
      <c r="C23" s="4" t="inlineStr"/>
      <c r="D23" s="12" t="n"/>
      <c r="E23" s="12" t="n"/>
      <c r="F23" s="12" t="n"/>
      <c r="G23" s="12" t="n"/>
      <c r="H23" s="12" t="n"/>
      <c r="I23" s="12" t="n"/>
      <c r="J23" s="12" t="n"/>
      <c r="K23" s="13" t="n"/>
    </row>
    <row r="24">
      <c r="B24" s="3" t="inlineStr">
        <is>
          <t>Price validity and protection in year 1; currency clause</t>
        </is>
      </c>
      <c r="C24" s="4" t="inlineStr"/>
      <c r="D24" s="12" t="n"/>
      <c r="E24" s="12" t="n"/>
      <c r="F24" s="12" t="n"/>
      <c r="G24" s="12" t="n"/>
      <c r="H24" s="12" t="n"/>
      <c r="I24" s="12" t="n"/>
      <c r="J24" s="12" t="n"/>
      <c r="K24" s="13" t="n"/>
    </row>
    <row r="25">
      <c r="B25" s="3" t="inlineStr">
        <is>
          <t>Exit and data-return fees</t>
        </is>
      </c>
      <c r="C25" s="4" t="inlineStr"/>
      <c r="D25" s="12" t="n"/>
      <c r="E25" s="12" t="n"/>
      <c r="F25" s="12" t="n"/>
      <c r="G25" s="12" t="n"/>
      <c r="H25" s="12" t="n"/>
      <c r="I25" s="12" t="n"/>
      <c r="J25" s="12" t="n"/>
      <c r="K25" s="13" t="n"/>
    </row>
    <row r="26">
      <c r="B26" s="3" t="inlineStr">
        <is>
          <t>SLA credits</t>
        </is>
      </c>
      <c r="C26" s="4" t="inlineStr"/>
      <c r="D26" s="12" t="n"/>
      <c r="E26" s="12" t="n"/>
      <c r="F26" s="12" t="n"/>
      <c r="G26" s="12" t="n"/>
      <c r="H26" s="12" t="n"/>
      <c r="I26" s="12" t="n"/>
      <c r="J26" s="12" t="n"/>
      <c r="K26" s="13" t="n"/>
    </row>
    <row r="27">
      <c r="B27" s="3" t="inlineStr">
        <is>
          <t>Not included in the above</t>
        </is>
      </c>
      <c r="C27" s="4" t="inlineStr"/>
      <c r="D27" s="12" t="n"/>
      <c r="E27" s="12" t="n"/>
      <c r="F27" s="12" t="n"/>
      <c r="G27" s="12" t="n"/>
      <c r="H27" s="12" t="n"/>
      <c r="I27" s="12" t="n"/>
      <c r="J27" s="12" t="n"/>
      <c r="K27" s="13" t="n"/>
    </row>
  </sheetData>
  <mergeCells count="7">
    <mergeCell ref="C24:K24"/>
    <mergeCell ref="C25:K25"/>
    <mergeCell ref="C27:K27"/>
    <mergeCell ref="C22:K22"/>
    <mergeCell ref="C23:K23"/>
    <mergeCell ref="C26:K26"/>
    <mergeCell ref="B19:K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34" customWidth="1" min="3" max="3"/>
    <col width="14" customWidth="1" min="4" max="4"/>
    <col width="14" customWidth="1" min="5" max="5"/>
    <col width="14" customWidth="1" min="6" max="6"/>
    <col width="16" customWidth="1" min="7" max="7"/>
    <col width="14" customWidth="1" min="8" max="8"/>
    <col width="16" customWidth="1" min="9" max="9"/>
    <col width="22" customWidth="1" min="10" max="10"/>
    <col width="34" customWidth="1" min="11" max="11"/>
    <col width="18" customWidth="1" min="12" max="12"/>
    <col width="18" customWidth="1" min="13" max="13"/>
    <col width="18" customWidth="1" min="14" max="14"/>
  </cols>
  <sheetData>
    <row r="1">
      <c r="A1" s="1" t="inlineStr">
        <is>
          <t>Itemised pricing – Base scenario (₦)</t>
        </is>
      </c>
    </row>
    <row r="2">
      <c r="A2" s="7" t="inlineStr">
        <is>
          <t>Annual price increase assumed for years 2–3 (%):</t>
        </is>
      </c>
      <c r="D2" s="8" t="n"/>
    </row>
    <row r="4">
      <c r="A4" s="5" t="inlineStr">
        <is>
          <t>#</t>
        </is>
      </c>
      <c r="B4" s="5" t="inlineStr">
        <is>
          <t>Cost item</t>
        </is>
      </c>
      <c r="C4" s="5" t="inlineStr">
        <is>
          <t>What is included / basis</t>
        </is>
      </c>
      <c r="D4" s="5" t="inlineStr">
        <is>
          <t>One-time (₦)</t>
        </is>
      </c>
      <c r="E4" s="5" t="inlineStr">
        <is>
          <t>Monthly (₦)</t>
        </is>
      </c>
      <c r="F4" s="5" t="inlineStr">
        <is>
          <t>Annual (₦)</t>
        </is>
      </c>
      <c r="G4" s="5" t="inlineStr">
        <is>
          <t>Usage rate (₦ per unit)</t>
        </is>
      </c>
      <c r="H4" s="5" t="inlineStr">
        <is>
          <t>Usage unit</t>
        </is>
      </c>
      <c r="I4" s="5" t="inlineStr">
        <is>
          <t>Estimated annual usage (units)</t>
        </is>
      </c>
      <c r="J4" s="5" t="inlineStr">
        <is>
          <t>Currency / FX basis</t>
        </is>
      </c>
      <c r="K4" s="5" t="inlineStr">
        <is>
          <t>Notes</t>
        </is>
      </c>
      <c r="L4" s="5" t="inlineStr">
        <is>
          <t>FIRST-YEAR TOTAL (₦)</t>
        </is>
      </c>
      <c r="M4" s="5" t="inlineStr">
        <is>
          <t>YEAR 2 RECURRING (₦)</t>
        </is>
      </c>
      <c r="N4" s="5" t="inlineStr">
        <is>
          <t>YEAR 3 RECURRING (₦)</t>
        </is>
      </c>
    </row>
    <row r="5" ht="32" customHeight="1">
      <c r="A5" s="3" t="n">
        <v>1</v>
      </c>
      <c r="B5" s="6" t="inlineStr">
        <is>
          <t>Initial implementation</t>
        </is>
      </c>
      <c r="C5" s="4" t="n"/>
      <c r="D5" s="9" t="n"/>
      <c r="E5" s="9" t="n"/>
      <c r="F5" s="9" t="n"/>
      <c r="G5" s="9" t="n"/>
      <c r="H5" s="4" t="n"/>
      <c r="I5" s="9" t="n"/>
      <c r="J5" s="4" t="n"/>
      <c r="K5" s="4" t="n"/>
      <c r="L5" s="10">
        <f>N(D5)+N(E5)*12+N(F5)+N(G5)*N(I5)</f>
        <v/>
      </c>
      <c r="M5" s="10">
        <f>N(E5)*12+N(F5)+N(G5)*N(I5)</f>
        <v/>
      </c>
      <c r="N5" s="10">
        <f>M5*(1+N($D$2))</f>
        <v/>
      </c>
    </row>
    <row r="6" ht="32" customHeight="1">
      <c r="A6" s="3" t="n">
        <v>2</v>
      </c>
      <c r="B6" s="6" t="inlineStr">
        <is>
          <t>WhatsApp integration</t>
        </is>
      </c>
      <c r="C6" s="4" t="n"/>
      <c r="D6" s="9" t="n"/>
      <c r="E6" s="9" t="n"/>
      <c r="F6" s="9" t="n"/>
      <c r="G6" s="9" t="n"/>
      <c r="H6" s="4" t="n"/>
      <c r="I6" s="9" t="n"/>
      <c r="J6" s="4" t="n"/>
      <c r="K6" s="4" t="n"/>
      <c r="L6" s="10">
        <f>N(D6)+N(E6)*12+N(F6)+N(G6)*N(I6)</f>
        <v/>
      </c>
      <c r="M6" s="10">
        <f>N(E6)*12+N(F6)+N(G6)*N(I6)</f>
        <v/>
      </c>
      <c r="N6" s="10">
        <f>M6*(1+N($D$2))</f>
        <v/>
      </c>
    </row>
    <row r="7" ht="32" customHeight="1">
      <c r="A7" s="3" t="n">
        <v>3</v>
      </c>
      <c r="B7" s="6" t="inlineStr">
        <is>
          <t>CRM subscription</t>
        </is>
      </c>
      <c r="C7" s="4" t="n"/>
      <c r="D7" s="9" t="n"/>
      <c r="E7" s="9" t="n"/>
      <c r="F7" s="9" t="n"/>
      <c r="G7" s="9" t="n"/>
      <c r="H7" s="4" t="n"/>
      <c r="I7" s="9" t="n"/>
      <c r="J7" s="4" t="n"/>
      <c r="K7" s="4" t="n"/>
      <c r="L7" s="10">
        <f>N(D7)+N(E7)*12+N(F7)+N(G7)*N(I7)</f>
        <v/>
      </c>
      <c r="M7" s="10">
        <f>N(E7)*12+N(F7)+N(G7)*N(I7)</f>
        <v/>
      </c>
      <c r="N7" s="10">
        <f>M7*(1+N($D$2))</f>
        <v/>
      </c>
    </row>
    <row r="8" ht="32" customHeight="1">
      <c r="A8" s="3" t="n">
        <v>4</v>
      </c>
      <c r="B8" s="6" t="inlineStr">
        <is>
          <t>AI usage</t>
        </is>
      </c>
      <c r="C8" s="4" t="n"/>
      <c r="D8" s="9" t="n"/>
      <c r="E8" s="9" t="n"/>
      <c r="F8" s="9" t="n"/>
      <c r="G8" s="9" t="n"/>
      <c r="H8" s="4" t="n"/>
      <c r="I8" s="9" t="n"/>
      <c r="J8" s="4" t="n"/>
      <c r="K8" s="4" t="n"/>
      <c r="L8" s="10">
        <f>N(D8)+N(E8)*12+N(F8)+N(G8)*N(I8)</f>
        <v/>
      </c>
      <c r="M8" s="10">
        <f>N(E8)*12+N(F8)+N(G8)*N(I8)</f>
        <v/>
      </c>
      <c r="N8" s="10">
        <f>M8*(1+N($D$2))</f>
        <v/>
      </c>
    </row>
    <row r="9" ht="32" customHeight="1">
      <c r="A9" s="3" t="n">
        <v>5</v>
      </c>
      <c r="B9" s="6" t="inlineStr">
        <is>
          <t>WhatsApp messaging (Meta charges)</t>
        </is>
      </c>
      <c r="C9" s="4" t="n"/>
      <c r="D9" s="9" t="n"/>
      <c r="E9" s="9" t="n"/>
      <c r="F9" s="9" t="n"/>
      <c r="G9" s="9" t="n"/>
      <c r="H9" s="4" t="n"/>
      <c r="I9" s="9" t="n"/>
      <c r="J9" s="4" t="n"/>
      <c r="K9" s="4" t="n"/>
      <c r="L9" s="10">
        <f>N(D9)+N(E9)*12+N(F9)+N(G9)*N(I9)</f>
        <v/>
      </c>
      <c r="M9" s="10">
        <f>N(E9)*12+N(F9)+N(G9)*N(I9)</f>
        <v/>
      </c>
      <c r="N9" s="10">
        <f>M9*(1+N($D$2))</f>
        <v/>
      </c>
    </row>
    <row r="10" ht="32" customHeight="1">
      <c r="A10" s="3" t="n">
        <v>6</v>
      </c>
      <c r="B10" s="6" t="inlineStr">
        <is>
          <t>Hosting and storage</t>
        </is>
      </c>
      <c r="C10" s="4" t="n"/>
      <c r="D10" s="9" t="n"/>
      <c r="E10" s="9" t="n"/>
      <c r="F10" s="9" t="n"/>
      <c r="G10" s="9" t="n"/>
      <c r="H10" s="4" t="n"/>
      <c r="I10" s="9" t="n"/>
      <c r="J10" s="4" t="n"/>
      <c r="K10" s="4" t="n"/>
      <c r="L10" s="10">
        <f>N(D10)+N(E10)*12+N(F10)+N(G10)*N(I10)</f>
        <v/>
      </c>
      <c r="M10" s="10">
        <f>N(E10)*12+N(F10)+N(G10)*N(I10)</f>
        <v/>
      </c>
      <c r="N10" s="10">
        <f>M10*(1+N($D$2))</f>
        <v/>
      </c>
    </row>
    <row r="11" ht="32" customHeight="1">
      <c r="A11" s="3" t="n">
        <v>7</v>
      </c>
      <c r="B11" s="6" t="inlineStr">
        <is>
          <t>Custom development</t>
        </is>
      </c>
      <c r="C11" s="4" t="n"/>
      <c r="D11" s="9" t="n"/>
      <c r="E11" s="9" t="n"/>
      <c r="F11" s="9" t="n"/>
      <c r="G11" s="9" t="n"/>
      <c r="H11" s="4" t="n"/>
      <c r="I11" s="9" t="n"/>
      <c r="J11" s="4" t="n"/>
      <c r="K11" s="4" t="n"/>
      <c r="L11" s="10">
        <f>N(D11)+N(E11)*12+N(F11)+N(G11)*N(I11)</f>
        <v/>
      </c>
      <c r="M11" s="10">
        <f>N(E11)*12+N(F11)+N(G11)*N(I11)</f>
        <v/>
      </c>
      <c r="N11" s="10">
        <f>M11*(1+N($D$2))</f>
        <v/>
      </c>
    </row>
    <row r="12" ht="32" customHeight="1">
      <c r="A12" s="3" t="n">
        <v>8</v>
      </c>
      <c r="B12" s="6" t="inlineStr">
        <is>
          <t>Third-party integrations</t>
        </is>
      </c>
      <c r="C12" s="4" t="n"/>
      <c r="D12" s="9" t="n"/>
      <c r="E12" s="9" t="n"/>
      <c r="F12" s="9" t="n"/>
      <c r="G12" s="9" t="n"/>
      <c r="H12" s="4" t="n"/>
      <c r="I12" s="9" t="n"/>
      <c r="J12" s="4" t="n"/>
      <c r="K12" s="4" t="n"/>
      <c r="L12" s="10">
        <f>N(D12)+N(E12)*12+N(F12)+N(G12)*N(I12)</f>
        <v/>
      </c>
      <c r="M12" s="10">
        <f>N(E12)*12+N(F12)+N(G12)*N(I12)</f>
        <v/>
      </c>
      <c r="N12" s="10">
        <f>M12*(1+N($D$2))</f>
        <v/>
      </c>
    </row>
    <row r="13" ht="32" customHeight="1">
      <c r="A13" s="3" t="n">
        <v>9</v>
      </c>
      <c r="B13" s="6" t="inlineStr">
        <is>
          <t>Staff training</t>
        </is>
      </c>
      <c r="C13" s="4" t="n"/>
      <c r="D13" s="9" t="n"/>
      <c r="E13" s="9" t="n"/>
      <c r="F13" s="9" t="n"/>
      <c r="G13" s="9" t="n"/>
      <c r="H13" s="4" t="n"/>
      <c r="I13" s="9" t="n"/>
      <c r="J13" s="4" t="n"/>
      <c r="K13" s="4" t="n"/>
      <c r="L13" s="10">
        <f>N(D13)+N(E13)*12+N(F13)+N(G13)*N(I13)</f>
        <v/>
      </c>
      <c r="M13" s="10">
        <f>N(E13)*12+N(F13)+N(G13)*N(I13)</f>
        <v/>
      </c>
      <c r="N13" s="10">
        <f>M13*(1+N($D$2))</f>
        <v/>
      </c>
    </row>
    <row r="14" ht="32" customHeight="1">
      <c r="A14" s="3" t="n">
        <v>10</v>
      </c>
      <c r="B14" s="6" t="inlineStr">
        <is>
          <t>Maintenance and technical support</t>
        </is>
      </c>
      <c r="C14" s="4" t="n"/>
      <c r="D14" s="9" t="n"/>
      <c r="E14" s="9" t="n"/>
      <c r="F14" s="9" t="n"/>
      <c r="G14" s="9" t="n"/>
      <c r="H14" s="4" t="n"/>
      <c r="I14" s="9" t="n"/>
      <c r="J14" s="4" t="n"/>
      <c r="K14" s="4" t="n"/>
      <c r="L14" s="10">
        <f>N(D14)+N(E14)*12+N(F14)+N(G14)*N(I14)</f>
        <v/>
      </c>
      <c r="M14" s="10">
        <f>N(E14)*12+N(F14)+N(G14)*N(I14)</f>
        <v/>
      </c>
      <c r="N14" s="10">
        <f>M14*(1+N($D$2))</f>
        <v/>
      </c>
    </row>
    <row r="15" ht="32" customHeight="1">
      <c r="A15" s="3" t="n">
        <v>11</v>
      </c>
      <c r="B15" s="6" t="inlineStr">
        <is>
          <t>Additional users</t>
        </is>
      </c>
      <c r="C15" s="4" t="n"/>
      <c r="D15" s="9" t="n"/>
      <c r="E15" s="9" t="n"/>
      <c r="F15" s="9" t="n"/>
      <c r="G15" s="9" t="n"/>
      <c r="H15" s="4" t="n"/>
      <c r="I15" s="9" t="n"/>
      <c r="J15" s="4" t="n"/>
      <c r="K15" s="4" t="n"/>
      <c r="L15" s="10">
        <f>N(D15)+N(E15)*12+N(F15)+N(G15)*N(I15)</f>
        <v/>
      </c>
      <c r="M15" s="10">
        <f>N(E15)*12+N(F15)+N(G15)*N(I15)</f>
        <v/>
      </c>
      <c r="N15" s="10">
        <f>M15*(1+N($D$2))</f>
        <v/>
      </c>
    </row>
    <row r="16" ht="32" customHeight="1">
      <c r="A16" s="3" t="n">
        <v>12</v>
      </c>
      <c r="B16" s="6" t="inlineStr">
        <is>
          <t>Taxes and other charges</t>
        </is>
      </c>
      <c r="C16" s="4" t="n"/>
      <c r="D16" s="9" t="n"/>
      <c r="E16" s="9" t="n"/>
      <c r="F16" s="9" t="n"/>
      <c r="G16" s="9" t="n"/>
      <c r="H16" s="4" t="n"/>
      <c r="I16" s="9" t="n"/>
      <c r="J16" s="4" t="n"/>
      <c r="K16" s="4" t="n"/>
      <c r="L16" s="10">
        <f>N(D16)+N(E16)*12+N(F16)+N(G16)*N(I16)</f>
        <v/>
      </c>
      <c r="M16" s="10">
        <f>N(E16)*12+N(F16)+N(G16)*N(I16)</f>
        <v/>
      </c>
      <c r="N16" s="10">
        <f>M16*(1+N($D$2))</f>
        <v/>
      </c>
    </row>
    <row r="17">
      <c r="B17" s="6" t="inlineStr">
        <is>
          <t>TOTAL</t>
        </is>
      </c>
      <c r="D17" s="11">
        <f>SUM(D5:D16)</f>
        <v/>
      </c>
      <c r="E17" s="11">
        <f>SUM(E5:E16)</f>
        <v/>
      </c>
      <c r="F17" s="11">
        <f>SUM(F5:F16)</f>
        <v/>
      </c>
      <c r="L17" s="11">
        <f>SUM(L5:L16)</f>
        <v/>
      </c>
      <c r="M17" s="11">
        <f>SUM(M5:M16)</f>
        <v/>
      </c>
      <c r="N17" s="11">
        <f>SUM(N5:N16)</f>
        <v/>
      </c>
    </row>
    <row r="19" ht="40" customHeight="1">
      <c r="B19" s="3" t="inlineStr">
        <is>
          <t>Note: Year 2 recurring = monthly × 12 + annual + usage. Year 3 = Year 2 × (1 + annual increase). Taxes in line 12 should be entered as an annual amount if recurring, or as one-time.</t>
        </is>
      </c>
      <c r="C19" s="12" t="n"/>
      <c r="D19" s="12" t="n"/>
      <c r="E19" s="12" t="n"/>
      <c r="F19" s="12" t="n"/>
      <c r="G19" s="12" t="n"/>
      <c r="H19" s="12" t="n"/>
      <c r="I19" s="12" t="n"/>
      <c r="J19" s="12" t="n"/>
      <c r="K19" s="13" t="n"/>
    </row>
    <row r="21">
      <c r="B21" s="6" t="inlineStr">
        <is>
          <t>Other commercial terms</t>
        </is>
      </c>
    </row>
    <row r="22">
      <c r="B22" s="3" t="inlineStr">
        <is>
          <t>Payment schedule</t>
        </is>
      </c>
      <c r="C22" s="4" t="inlineStr"/>
      <c r="D22" s="12" t="n"/>
      <c r="E22" s="12" t="n"/>
      <c r="F22" s="12" t="n"/>
      <c r="G22" s="12" t="n"/>
      <c r="H22" s="12" t="n"/>
      <c r="I22" s="12" t="n"/>
      <c r="J22" s="12" t="n"/>
      <c r="K22" s="13" t="n"/>
    </row>
    <row r="23">
      <c r="B23" s="3" t="inlineStr">
        <is>
          <t>Minimum term / renewal / notice</t>
        </is>
      </c>
      <c r="C23" s="4" t="inlineStr"/>
      <c r="D23" s="12" t="n"/>
      <c r="E23" s="12" t="n"/>
      <c r="F23" s="12" t="n"/>
      <c r="G23" s="12" t="n"/>
      <c r="H23" s="12" t="n"/>
      <c r="I23" s="12" t="n"/>
      <c r="J23" s="12" t="n"/>
      <c r="K23" s="13" t="n"/>
    </row>
    <row r="24">
      <c r="B24" s="3" t="inlineStr">
        <is>
          <t>Price validity and protection in year 1; currency clause</t>
        </is>
      </c>
      <c r="C24" s="4" t="inlineStr"/>
      <c r="D24" s="12" t="n"/>
      <c r="E24" s="12" t="n"/>
      <c r="F24" s="12" t="n"/>
      <c r="G24" s="12" t="n"/>
      <c r="H24" s="12" t="n"/>
      <c r="I24" s="12" t="n"/>
      <c r="J24" s="12" t="n"/>
      <c r="K24" s="13" t="n"/>
    </row>
    <row r="25">
      <c r="B25" s="3" t="inlineStr">
        <is>
          <t>Exit and data-return fees</t>
        </is>
      </c>
      <c r="C25" s="4" t="inlineStr"/>
      <c r="D25" s="12" t="n"/>
      <c r="E25" s="12" t="n"/>
      <c r="F25" s="12" t="n"/>
      <c r="G25" s="12" t="n"/>
      <c r="H25" s="12" t="n"/>
      <c r="I25" s="12" t="n"/>
      <c r="J25" s="12" t="n"/>
      <c r="K25" s="13" t="n"/>
    </row>
    <row r="26">
      <c r="B26" s="3" t="inlineStr">
        <is>
          <t>SLA credits</t>
        </is>
      </c>
      <c r="C26" s="4" t="inlineStr"/>
      <c r="D26" s="12" t="n"/>
      <c r="E26" s="12" t="n"/>
      <c r="F26" s="12" t="n"/>
      <c r="G26" s="12" t="n"/>
      <c r="H26" s="12" t="n"/>
      <c r="I26" s="12" t="n"/>
      <c r="J26" s="12" t="n"/>
      <c r="K26" s="13" t="n"/>
    </row>
    <row r="27">
      <c r="B27" s="3" t="inlineStr">
        <is>
          <t>Not included in the above</t>
        </is>
      </c>
      <c r="C27" s="4" t="inlineStr"/>
      <c r="D27" s="12" t="n"/>
      <c r="E27" s="12" t="n"/>
      <c r="F27" s="12" t="n"/>
      <c r="G27" s="12" t="n"/>
      <c r="H27" s="12" t="n"/>
      <c r="I27" s="12" t="n"/>
      <c r="J27" s="12" t="n"/>
      <c r="K27" s="13" t="n"/>
    </row>
  </sheetData>
  <mergeCells count="7">
    <mergeCell ref="C24:K24"/>
    <mergeCell ref="C25:K25"/>
    <mergeCell ref="C27:K27"/>
    <mergeCell ref="C22:K22"/>
    <mergeCell ref="C23:K23"/>
    <mergeCell ref="C26:K26"/>
    <mergeCell ref="B19:K1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34" customWidth="1" min="3" max="3"/>
    <col width="14" customWidth="1" min="4" max="4"/>
    <col width="14" customWidth="1" min="5" max="5"/>
    <col width="14" customWidth="1" min="6" max="6"/>
    <col width="16" customWidth="1" min="7" max="7"/>
    <col width="14" customWidth="1" min="8" max="8"/>
    <col width="16" customWidth="1" min="9" max="9"/>
    <col width="22" customWidth="1" min="10" max="10"/>
    <col width="34" customWidth="1" min="11" max="11"/>
    <col width="18" customWidth="1" min="12" max="12"/>
    <col width="18" customWidth="1" min="13" max="13"/>
    <col width="18" customWidth="1" min="14" max="14"/>
  </cols>
  <sheetData>
    <row r="1">
      <c r="A1" s="1" t="inlineStr">
        <is>
          <t>Itemised pricing – High scenario (₦)</t>
        </is>
      </c>
    </row>
    <row r="2">
      <c r="A2" s="7" t="inlineStr">
        <is>
          <t>Annual price increase assumed for years 2–3 (%):</t>
        </is>
      </c>
      <c r="D2" s="8" t="n"/>
    </row>
    <row r="4">
      <c r="A4" s="5" t="inlineStr">
        <is>
          <t>#</t>
        </is>
      </c>
      <c r="B4" s="5" t="inlineStr">
        <is>
          <t>Cost item</t>
        </is>
      </c>
      <c r="C4" s="5" t="inlineStr">
        <is>
          <t>What is included / basis</t>
        </is>
      </c>
      <c r="D4" s="5" t="inlineStr">
        <is>
          <t>One-time (₦)</t>
        </is>
      </c>
      <c r="E4" s="5" t="inlineStr">
        <is>
          <t>Monthly (₦)</t>
        </is>
      </c>
      <c r="F4" s="5" t="inlineStr">
        <is>
          <t>Annual (₦)</t>
        </is>
      </c>
      <c r="G4" s="5" t="inlineStr">
        <is>
          <t>Usage rate (₦ per unit)</t>
        </is>
      </c>
      <c r="H4" s="5" t="inlineStr">
        <is>
          <t>Usage unit</t>
        </is>
      </c>
      <c r="I4" s="5" t="inlineStr">
        <is>
          <t>Estimated annual usage (units)</t>
        </is>
      </c>
      <c r="J4" s="5" t="inlineStr">
        <is>
          <t>Currency / FX basis</t>
        </is>
      </c>
      <c r="K4" s="5" t="inlineStr">
        <is>
          <t>Notes</t>
        </is>
      </c>
      <c r="L4" s="5" t="inlineStr">
        <is>
          <t>FIRST-YEAR TOTAL (₦)</t>
        </is>
      </c>
      <c r="M4" s="5" t="inlineStr">
        <is>
          <t>YEAR 2 RECURRING (₦)</t>
        </is>
      </c>
      <c r="N4" s="5" t="inlineStr">
        <is>
          <t>YEAR 3 RECURRING (₦)</t>
        </is>
      </c>
    </row>
    <row r="5" ht="32" customHeight="1">
      <c r="A5" s="3" t="n">
        <v>1</v>
      </c>
      <c r="B5" s="6" t="inlineStr">
        <is>
          <t>Initial implementation</t>
        </is>
      </c>
      <c r="C5" s="4" t="n"/>
      <c r="D5" s="9" t="n"/>
      <c r="E5" s="9" t="n"/>
      <c r="F5" s="9" t="n"/>
      <c r="G5" s="9" t="n"/>
      <c r="H5" s="4" t="n"/>
      <c r="I5" s="9" t="n"/>
      <c r="J5" s="4" t="n"/>
      <c r="K5" s="4" t="n"/>
      <c r="L5" s="10">
        <f>N(D5)+N(E5)*12+N(F5)+N(G5)*N(I5)</f>
        <v/>
      </c>
      <c r="M5" s="10">
        <f>N(E5)*12+N(F5)+N(G5)*N(I5)</f>
        <v/>
      </c>
      <c r="N5" s="10">
        <f>M5*(1+N($D$2))</f>
        <v/>
      </c>
    </row>
    <row r="6" ht="32" customHeight="1">
      <c r="A6" s="3" t="n">
        <v>2</v>
      </c>
      <c r="B6" s="6" t="inlineStr">
        <is>
          <t>WhatsApp integration</t>
        </is>
      </c>
      <c r="C6" s="4" t="n"/>
      <c r="D6" s="9" t="n"/>
      <c r="E6" s="9" t="n"/>
      <c r="F6" s="9" t="n"/>
      <c r="G6" s="9" t="n"/>
      <c r="H6" s="4" t="n"/>
      <c r="I6" s="9" t="n"/>
      <c r="J6" s="4" t="n"/>
      <c r="K6" s="4" t="n"/>
      <c r="L6" s="10">
        <f>N(D6)+N(E6)*12+N(F6)+N(G6)*N(I6)</f>
        <v/>
      </c>
      <c r="M6" s="10">
        <f>N(E6)*12+N(F6)+N(G6)*N(I6)</f>
        <v/>
      </c>
      <c r="N6" s="10">
        <f>M6*(1+N($D$2))</f>
        <v/>
      </c>
    </row>
    <row r="7" ht="32" customHeight="1">
      <c r="A7" s="3" t="n">
        <v>3</v>
      </c>
      <c r="B7" s="6" t="inlineStr">
        <is>
          <t>CRM subscription</t>
        </is>
      </c>
      <c r="C7" s="4" t="n"/>
      <c r="D7" s="9" t="n"/>
      <c r="E7" s="9" t="n"/>
      <c r="F7" s="9" t="n"/>
      <c r="G7" s="9" t="n"/>
      <c r="H7" s="4" t="n"/>
      <c r="I7" s="9" t="n"/>
      <c r="J7" s="4" t="n"/>
      <c r="K7" s="4" t="n"/>
      <c r="L7" s="10">
        <f>N(D7)+N(E7)*12+N(F7)+N(G7)*N(I7)</f>
        <v/>
      </c>
      <c r="M7" s="10">
        <f>N(E7)*12+N(F7)+N(G7)*N(I7)</f>
        <v/>
      </c>
      <c r="N7" s="10">
        <f>M7*(1+N($D$2))</f>
        <v/>
      </c>
    </row>
    <row r="8" ht="32" customHeight="1">
      <c r="A8" s="3" t="n">
        <v>4</v>
      </c>
      <c r="B8" s="6" t="inlineStr">
        <is>
          <t>AI usage</t>
        </is>
      </c>
      <c r="C8" s="4" t="n"/>
      <c r="D8" s="9" t="n"/>
      <c r="E8" s="9" t="n"/>
      <c r="F8" s="9" t="n"/>
      <c r="G8" s="9" t="n"/>
      <c r="H8" s="4" t="n"/>
      <c r="I8" s="9" t="n"/>
      <c r="J8" s="4" t="n"/>
      <c r="K8" s="4" t="n"/>
      <c r="L8" s="10">
        <f>N(D8)+N(E8)*12+N(F8)+N(G8)*N(I8)</f>
        <v/>
      </c>
      <c r="M8" s="10">
        <f>N(E8)*12+N(F8)+N(G8)*N(I8)</f>
        <v/>
      </c>
      <c r="N8" s="10">
        <f>M8*(1+N($D$2))</f>
        <v/>
      </c>
    </row>
    <row r="9" ht="32" customHeight="1">
      <c r="A9" s="3" t="n">
        <v>5</v>
      </c>
      <c r="B9" s="6" t="inlineStr">
        <is>
          <t>WhatsApp messaging (Meta charges)</t>
        </is>
      </c>
      <c r="C9" s="4" t="n"/>
      <c r="D9" s="9" t="n"/>
      <c r="E9" s="9" t="n"/>
      <c r="F9" s="9" t="n"/>
      <c r="G9" s="9" t="n"/>
      <c r="H9" s="4" t="n"/>
      <c r="I9" s="9" t="n"/>
      <c r="J9" s="4" t="n"/>
      <c r="K9" s="4" t="n"/>
      <c r="L9" s="10">
        <f>N(D9)+N(E9)*12+N(F9)+N(G9)*N(I9)</f>
        <v/>
      </c>
      <c r="M9" s="10">
        <f>N(E9)*12+N(F9)+N(G9)*N(I9)</f>
        <v/>
      </c>
      <c r="N9" s="10">
        <f>M9*(1+N($D$2))</f>
        <v/>
      </c>
    </row>
    <row r="10" ht="32" customHeight="1">
      <c r="A10" s="3" t="n">
        <v>6</v>
      </c>
      <c r="B10" s="6" t="inlineStr">
        <is>
          <t>Hosting and storage</t>
        </is>
      </c>
      <c r="C10" s="4" t="n"/>
      <c r="D10" s="9" t="n"/>
      <c r="E10" s="9" t="n"/>
      <c r="F10" s="9" t="n"/>
      <c r="G10" s="9" t="n"/>
      <c r="H10" s="4" t="n"/>
      <c r="I10" s="9" t="n"/>
      <c r="J10" s="4" t="n"/>
      <c r="K10" s="4" t="n"/>
      <c r="L10" s="10">
        <f>N(D10)+N(E10)*12+N(F10)+N(G10)*N(I10)</f>
        <v/>
      </c>
      <c r="M10" s="10">
        <f>N(E10)*12+N(F10)+N(G10)*N(I10)</f>
        <v/>
      </c>
      <c r="N10" s="10">
        <f>M10*(1+N($D$2))</f>
        <v/>
      </c>
    </row>
    <row r="11" ht="32" customHeight="1">
      <c r="A11" s="3" t="n">
        <v>7</v>
      </c>
      <c r="B11" s="6" t="inlineStr">
        <is>
          <t>Custom development</t>
        </is>
      </c>
      <c r="C11" s="4" t="n"/>
      <c r="D11" s="9" t="n"/>
      <c r="E11" s="9" t="n"/>
      <c r="F11" s="9" t="n"/>
      <c r="G11" s="9" t="n"/>
      <c r="H11" s="4" t="n"/>
      <c r="I11" s="9" t="n"/>
      <c r="J11" s="4" t="n"/>
      <c r="K11" s="4" t="n"/>
      <c r="L11" s="10">
        <f>N(D11)+N(E11)*12+N(F11)+N(G11)*N(I11)</f>
        <v/>
      </c>
      <c r="M11" s="10">
        <f>N(E11)*12+N(F11)+N(G11)*N(I11)</f>
        <v/>
      </c>
      <c r="N11" s="10">
        <f>M11*(1+N($D$2))</f>
        <v/>
      </c>
    </row>
    <row r="12" ht="32" customHeight="1">
      <c r="A12" s="3" t="n">
        <v>8</v>
      </c>
      <c r="B12" s="6" t="inlineStr">
        <is>
          <t>Third-party integrations</t>
        </is>
      </c>
      <c r="C12" s="4" t="n"/>
      <c r="D12" s="9" t="n"/>
      <c r="E12" s="9" t="n"/>
      <c r="F12" s="9" t="n"/>
      <c r="G12" s="9" t="n"/>
      <c r="H12" s="4" t="n"/>
      <c r="I12" s="9" t="n"/>
      <c r="J12" s="4" t="n"/>
      <c r="K12" s="4" t="n"/>
      <c r="L12" s="10">
        <f>N(D12)+N(E12)*12+N(F12)+N(G12)*N(I12)</f>
        <v/>
      </c>
      <c r="M12" s="10">
        <f>N(E12)*12+N(F12)+N(G12)*N(I12)</f>
        <v/>
      </c>
      <c r="N12" s="10">
        <f>M12*(1+N($D$2))</f>
        <v/>
      </c>
    </row>
    <row r="13" ht="32" customHeight="1">
      <c r="A13" s="3" t="n">
        <v>9</v>
      </c>
      <c r="B13" s="6" t="inlineStr">
        <is>
          <t>Staff training</t>
        </is>
      </c>
      <c r="C13" s="4" t="n"/>
      <c r="D13" s="9" t="n"/>
      <c r="E13" s="9" t="n"/>
      <c r="F13" s="9" t="n"/>
      <c r="G13" s="9" t="n"/>
      <c r="H13" s="4" t="n"/>
      <c r="I13" s="9" t="n"/>
      <c r="J13" s="4" t="n"/>
      <c r="K13" s="4" t="n"/>
      <c r="L13" s="10">
        <f>N(D13)+N(E13)*12+N(F13)+N(G13)*N(I13)</f>
        <v/>
      </c>
      <c r="M13" s="10">
        <f>N(E13)*12+N(F13)+N(G13)*N(I13)</f>
        <v/>
      </c>
      <c r="N13" s="10">
        <f>M13*(1+N($D$2))</f>
        <v/>
      </c>
    </row>
    <row r="14" ht="32" customHeight="1">
      <c r="A14" s="3" t="n">
        <v>10</v>
      </c>
      <c r="B14" s="6" t="inlineStr">
        <is>
          <t>Maintenance and technical support</t>
        </is>
      </c>
      <c r="C14" s="4" t="n"/>
      <c r="D14" s="9" t="n"/>
      <c r="E14" s="9" t="n"/>
      <c r="F14" s="9" t="n"/>
      <c r="G14" s="9" t="n"/>
      <c r="H14" s="4" t="n"/>
      <c r="I14" s="9" t="n"/>
      <c r="J14" s="4" t="n"/>
      <c r="K14" s="4" t="n"/>
      <c r="L14" s="10">
        <f>N(D14)+N(E14)*12+N(F14)+N(G14)*N(I14)</f>
        <v/>
      </c>
      <c r="M14" s="10">
        <f>N(E14)*12+N(F14)+N(G14)*N(I14)</f>
        <v/>
      </c>
      <c r="N14" s="10">
        <f>M14*(1+N($D$2))</f>
        <v/>
      </c>
    </row>
    <row r="15" ht="32" customHeight="1">
      <c r="A15" s="3" t="n">
        <v>11</v>
      </c>
      <c r="B15" s="6" t="inlineStr">
        <is>
          <t>Additional users</t>
        </is>
      </c>
      <c r="C15" s="4" t="n"/>
      <c r="D15" s="9" t="n"/>
      <c r="E15" s="9" t="n"/>
      <c r="F15" s="9" t="n"/>
      <c r="G15" s="9" t="n"/>
      <c r="H15" s="4" t="n"/>
      <c r="I15" s="9" t="n"/>
      <c r="J15" s="4" t="n"/>
      <c r="K15" s="4" t="n"/>
      <c r="L15" s="10">
        <f>N(D15)+N(E15)*12+N(F15)+N(G15)*N(I15)</f>
        <v/>
      </c>
      <c r="M15" s="10">
        <f>N(E15)*12+N(F15)+N(G15)*N(I15)</f>
        <v/>
      </c>
      <c r="N15" s="10">
        <f>M15*(1+N($D$2))</f>
        <v/>
      </c>
    </row>
    <row r="16" ht="32" customHeight="1">
      <c r="A16" s="3" t="n">
        <v>12</v>
      </c>
      <c r="B16" s="6" t="inlineStr">
        <is>
          <t>Taxes and other charges</t>
        </is>
      </c>
      <c r="C16" s="4" t="n"/>
      <c r="D16" s="9" t="n"/>
      <c r="E16" s="9" t="n"/>
      <c r="F16" s="9" t="n"/>
      <c r="G16" s="9" t="n"/>
      <c r="H16" s="4" t="n"/>
      <c r="I16" s="9" t="n"/>
      <c r="J16" s="4" t="n"/>
      <c r="K16" s="4" t="n"/>
      <c r="L16" s="10">
        <f>N(D16)+N(E16)*12+N(F16)+N(G16)*N(I16)</f>
        <v/>
      </c>
      <c r="M16" s="10">
        <f>N(E16)*12+N(F16)+N(G16)*N(I16)</f>
        <v/>
      </c>
      <c r="N16" s="10">
        <f>M16*(1+N($D$2))</f>
        <v/>
      </c>
    </row>
    <row r="17">
      <c r="B17" s="6" t="inlineStr">
        <is>
          <t>TOTAL</t>
        </is>
      </c>
      <c r="D17" s="11">
        <f>SUM(D5:D16)</f>
        <v/>
      </c>
      <c r="E17" s="11">
        <f>SUM(E5:E16)</f>
        <v/>
      </c>
      <c r="F17" s="11">
        <f>SUM(F5:F16)</f>
        <v/>
      </c>
      <c r="L17" s="11">
        <f>SUM(L5:L16)</f>
        <v/>
      </c>
      <c r="M17" s="11">
        <f>SUM(M5:M16)</f>
        <v/>
      </c>
      <c r="N17" s="11">
        <f>SUM(N5:N16)</f>
        <v/>
      </c>
    </row>
    <row r="19" ht="40" customHeight="1">
      <c r="B19" s="3" t="inlineStr">
        <is>
          <t>Note: Year 2 recurring = monthly × 12 + annual + usage. Year 3 = Year 2 × (1 + annual increase). Taxes in line 12 should be entered as an annual amount if recurring, or as one-time.</t>
        </is>
      </c>
      <c r="C19" s="12" t="n"/>
      <c r="D19" s="12" t="n"/>
      <c r="E19" s="12" t="n"/>
      <c r="F19" s="12" t="n"/>
      <c r="G19" s="12" t="n"/>
      <c r="H19" s="12" t="n"/>
      <c r="I19" s="12" t="n"/>
      <c r="J19" s="12" t="n"/>
      <c r="K19" s="13" t="n"/>
    </row>
    <row r="21">
      <c r="B21" s="6" t="inlineStr">
        <is>
          <t>Other commercial terms</t>
        </is>
      </c>
    </row>
    <row r="22">
      <c r="B22" s="3" t="inlineStr">
        <is>
          <t>Payment schedule</t>
        </is>
      </c>
      <c r="C22" s="4" t="inlineStr"/>
      <c r="D22" s="12" t="n"/>
      <c r="E22" s="12" t="n"/>
      <c r="F22" s="12" t="n"/>
      <c r="G22" s="12" t="n"/>
      <c r="H22" s="12" t="n"/>
      <c r="I22" s="12" t="n"/>
      <c r="J22" s="12" t="n"/>
      <c r="K22" s="13" t="n"/>
    </row>
    <row r="23">
      <c r="B23" s="3" t="inlineStr">
        <is>
          <t>Minimum term / renewal / notice</t>
        </is>
      </c>
      <c r="C23" s="4" t="inlineStr"/>
      <c r="D23" s="12" t="n"/>
      <c r="E23" s="12" t="n"/>
      <c r="F23" s="12" t="n"/>
      <c r="G23" s="12" t="n"/>
      <c r="H23" s="12" t="n"/>
      <c r="I23" s="12" t="n"/>
      <c r="J23" s="12" t="n"/>
      <c r="K23" s="13" t="n"/>
    </row>
    <row r="24">
      <c r="B24" s="3" t="inlineStr">
        <is>
          <t>Price validity and protection in year 1; currency clause</t>
        </is>
      </c>
      <c r="C24" s="4" t="inlineStr"/>
      <c r="D24" s="12" t="n"/>
      <c r="E24" s="12" t="n"/>
      <c r="F24" s="12" t="n"/>
      <c r="G24" s="12" t="n"/>
      <c r="H24" s="12" t="n"/>
      <c r="I24" s="12" t="n"/>
      <c r="J24" s="12" t="n"/>
      <c r="K24" s="13" t="n"/>
    </row>
    <row r="25">
      <c r="B25" s="3" t="inlineStr">
        <is>
          <t>Exit and data-return fees</t>
        </is>
      </c>
      <c r="C25" s="4" t="inlineStr"/>
      <c r="D25" s="12" t="n"/>
      <c r="E25" s="12" t="n"/>
      <c r="F25" s="12" t="n"/>
      <c r="G25" s="12" t="n"/>
      <c r="H25" s="12" t="n"/>
      <c r="I25" s="12" t="n"/>
      <c r="J25" s="12" t="n"/>
      <c r="K25" s="13" t="n"/>
    </row>
    <row r="26">
      <c r="B26" s="3" t="inlineStr">
        <is>
          <t>SLA credits</t>
        </is>
      </c>
      <c r="C26" s="4" t="inlineStr"/>
      <c r="D26" s="12" t="n"/>
      <c r="E26" s="12" t="n"/>
      <c r="F26" s="12" t="n"/>
      <c r="G26" s="12" t="n"/>
      <c r="H26" s="12" t="n"/>
      <c r="I26" s="12" t="n"/>
      <c r="J26" s="12" t="n"/>
      <c r="K26" s="13" t="n"/>
    </row>
    <row r="27">
      <c r="B27" s="3" t="inlineStr">
        <is>
          <t>Not included in the above</t>
        </is>
      </c>
      <c r="C27" s="4" t="inlineStr"/>
      <c r="D27" s="12" t="n"/>
      <c r="E27" s="12" t="n"/>
      <c r="F27" s="12" t="n"/>
      <c r="G27" s="12" t="n"/>
      <c r="H27" s="12" t="n"/>
      <c r="I27" s="12" t="n"/>
      <c r="J27" s="12" t="n"/>
      <c r="K27" s="13" t="n"/>
    </row>
  </sheetData>
  <mergeCells count="7">
    <mergeCell ref="C24:K24"/>
    <mergeCell ref="C25:K25"/>
    <mergeCell ref="C27:K27"/>
    <mergeCell ref="C22:K22"/>
    <mergeCell ref="C23:K23"/>
    <mergeCell ref="C26:K26"/>
    <mergeCell ref="B19:K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2026-10-26T15:38:47Z</dcterms:created>
  <dcterms:modified xmlns:dcterms="http://purl.org/dc/terms/" xmlns:xsi="http://www.w3.org/2001/XMLSchema-instance" xsi:type="dcterms:W3CDTF">2026-10-26T15:38:47Z</dcterms:modified>
</cp:coreProperties>
</file>