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Vendors" sheetId="2" state="visible" r:id="rId2"/>
    <sheet xmlns:r="http://schemas.openxmlformats.org/officeDocument/2006/relationships" name="Gates" sheetId="3" state="visible" r:id="rId3"/>
    <sheet xmlns:r="http://schemas.openxmlformats.org/officeDocument/2006/relationships" name="Demo - Vendor 1" sheetId="4" state="visible" r:id="rId4"/>
    <sheet xmlns:r="http://schemas.openxmlformats.org/officeDocument/2006/relationships" name="Demo - Vendor 2" sheetId="5" state="visible" r:id="rId5"/>
    <sheet xmlns:r="http://schemas.openxmlformats.org/officeDocument/2006/relationships" name="Cost" sheetId="6" state="visible" r:id="rId6"/>
    <sheet xmlns:r="http://schemas.openxmlformats.org/officeDocument/2006/relationships" name="Scoring" sheetId="7" state="visible" r:id="rId7"/>
    <sheet xmlns:r="http://schemas.openxmlformats.org/officeDocument/2006/relationships" name="Summary" sheetId="8" state="visible" r:id="rId8"/>
    <sheet xmlns:r="http://schemas.openxmlformats.org/officeDocument/2006/relationships" name="Follow-u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595959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A5F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top" wrapText="1"/>
    </xf>
    <xf numFmtId="9" fontId="0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9" fontId="3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0" borderId="0" pivotButton="0" quotePrefix="0" xfId="0"/>
    <xf numFmtId="164" fontId="3" fillId="5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3" fontId="3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164" fontId="0" fillId="4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9" fontId="0" fillId="5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bgColor rgb="00F8CBAD"/>
        </patternFill>
      </fill>
    </dxf>
    <dxf>
      <fill>
        <patternFill patternType="solid">
          <b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BES Vendor Demonstration and Evaluation Scorecard</t>
        </is>
      </c>
    </row>
    <row r="2">
      <c r="A2" s="2" t="inlineStr">
        <is>
          <t>INTERNAL – DRAFT v0.1 – do not share with vendors. Yellow cells are for BES to complete.</t>
        </is>
      </c>
    </row>
    <row r="4" ht="62" customHeight="1">
      <c r="A4" s="3" t="inlineStr">
        <is>
          <t>Purpose</t>
        </is>
      </c>
      <c r="B4" s="4" t="inlineStr">
        <is>
          <t>Compare vendors fairly and consistently for the exploratory assessment of an AI-assisted customer service and CRM system with WhatsApp Business. No vendor has been selected and no project is approved.</t>
        </is>
      </c>
    </row>
    <row r="5" ht="62" customHeight="1">
      <c r="A5" s="3" t="inlineStr">
        <is>
          <t>Sheets</t>
        </is>
      </c>
      <c r="B5" s="4" t="inlineStr">
        <is>
          <t>Vendors (names and weights) → Gates (pass/fail) → Demo sheets (live demonstration) → Cost (price comparison) → Scoring (weighted criteria) → Summary (results) → Follow-up (missing information).</t>
        </is>
      </c>
    </row>
    <row r="6" ht="62" customHeight="1">
      <c r="A6" s="3" t="inlineStr">
        <is>
          <t>Step 1 – Mandatory gates</t>
        </is>
      </c>
      <c r="B6" s="4" t="inlineStr">
        <is>
          <t>Before relying on any score, complete the Gates sheet. Any Fail excludes the proposal (unless management documents an exception). Pending means evidence is outstanding – follow up; do not assume a pass.</t>
        </is>
      </c>
    </row>
    <row r="7" ht="62" customHeight="1">
      <c r="A7" s="3" t="inlineStr">
        <is>
          <t>Step 2 – Scoring scale</t>
        </is>
      </c>
      <c r="B7" s="4" t="inlineStr">
        <is>
          <t>5 = Excellent, exceeds requirement, evidenced · 4 = Good · 3 = Meets requirement · 2 = Partly meets / material gaps · 1 = Poor · 0 = Information was provided and shows the requirement is NOT met. **Leave blank when information is missing** and log it on the Follow-up sheet.</t>
        </is>
      </c>
    </row>
    <row r="8" ht="62" customHeight="1">
      <c r="A8" s="3" t="inlineStr">
        <is>
          <t>Missing information</t>
        </is>
      </c>
      <c r="B8" s="4" t="inlineStr">
        <is>
          <t>A blank score is NOT zero. Blank criteria are excluded from the category average, and the Summary shows Completeness (scored criteria ÷ all criteria). A weighted score is calculated on available information only; vendors with completeness below the threshold on the Vendors sheet (default 80%) are flagged 'Insufficient information' and are not ranked until follow-up is done.</t>
        </is>
      </c>
    </row>
    <row r="9" ht="62" customHeight="1">
      <c r="A9" s="3" t="inlineStr">
        <is>
          <t>Evidence rule</t>
        </is>
      </c>
      <c r="B9" s="4" t="inlineStr">
        <is>
          <t>Score on documents and live demonstration, not on claims. Record the evidence source in the Notes column. Where a claim could not be verified, score conservatively and log a follow-up.</t>
        </is>
      </c>
    </row>
    <row r="10" ht="62" customHeight="1">
      <c r="A10" s="3" t="inlineStr">
        <is>
          <t>Weights</t>
        </is>
      </c>
      <c r="B10" s="4" t="inlineStr">
        <is>
          <t>Provisional weights (25/20/20/20/10/5) are on the Vendors sheet. Management may change them; they must total 100%. Do not change weights after seeing results.</t>
        </is>
      </c>
    </row>
    <row r="11" ht="62" customHeight="1">
      <c r="A11" s="3" t="inlineStr">
        <is>
          <t>Cost scoring</t>
        </is>
      </c>
      <c r="B11" s="4" t="inlineStr">
        <is>
          <t>The Cost sheet scores price by ratio (lowest comparable 3-year cost ÷ vendor's cost × 5) only when quotes cover the same scope. If scopes differ, normalise or override manually and explain in Notes. Cost is scored alongside, not instead of, value.</t>
        </is>
      </c>
    </row>
    <row r="12" ht="62" customHeight="1">
      <c r="A12" s="3" t="inlineStr">
        <is>
          <t>Scorers</t>
        </is>
      </c>
      <c r="B12" s="4" t="inlineStr">
        <is>
          <t>Use at least two scorers; record each scorer's initials; resolve differences &gt;1 point by discussion and record the agreed score.</t>
        </is>
      </c>
    </row>
    <row r="13" ht="62" customHeight="1">
      <c r="A13" s="3" t="inlineStr">
        <is>
          <t>Limits</t>
        </is>
      </c>
      <c r="B13" s="4" t="inlineStr">
        <is>
          <t>Scores support, not replace, management judgement, legal review and reference checks. Do not rank vendors on incomplete information.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60" customWidth="1" min="3" max="3"/>
  </cols>
  <sheetData>
    <row r="1">
      <c r="A1" s="1" t="inlineStr">
        <is>
          <t>Vendors and weights</t>
        </is>
      </c>
    </row>
    <row r="3">
      <c r="A3" s="5" t="inlineStr">
        <is>
          <t>#</t>
        </is>
      </c>
      <c r="B3" s="5" t="inlineStr">
        <is>
          <t>Vendor name (edit)</t>
        </is>
      </c>
      <c r="C3" s="5" t="inlineStr">
        <is>
          <t>Contact / notes</t>
        </is>
      </c>
    </row>
    <row r="4">
      <c r="A4" s="4" t="n">
        <v>1</v>
      </c>
      <c r="B4" s="6" t="inlineStr">
        <is>
          <t>TechCom Africa</t>
        </is>
      </c>
      <c r="C4" s="6" t="inlineStr"/>
    </row>
    <row r="5">
      <c r="A5" s="4" t="n">
        <v>2</v>
      </c>
      <c r="B5" s="6" t="inlineStr">
        <is>
          <t>Vendor B</t>
        </is>
      </c>
      <c r="C5" s="6" t="inlineStr"/>
    </row>
    <row r="6">
      <c r="A6" s="4" t="n">
        <v>3</v>
      </c>
      <c r="B6" s="6" t="inlineStr">
        <is>
          <t>Vendor C</t>
        </is>
      </c>
      <c r="C6" s="6" t="inlineStr"/>
    </row>
    <row r="7">
      <c r="A7" s="4" t="n">
        <v>4</v>
      </c>
      <c r="B7" s="6" t="inlineStr">
        <is>
          <t>Vendor D</t>
        </is>
      </c>
      <c r="C7" s="6" t="inlineStr"/>
    </row>
    <row r="10">
      <c r="A10" s="5" t="inlineStr">
        <is>
          <t>Category</t>
        </is>
      </c>
      <c r="B10" s="5" t="inlineStr">
        <is>
          <t>Provisional weight (editable)</t>
        </is>
      </c>
      <c r="C10" s="5" t="inlineStr">
        <is>
          <t>Comment</t>
        </is>
      </c>
    </row>
    <row r="11">
      <c r="A11" s="3" t="inlineStr">
        <is>
          <t>Functional capability</t>
        </is>
      </c>
      <c r="B11" s="7" t="n">
        <v>0.25</v>
      </c>
      <c r="C11" s="4" t="inlineStr">
        <is>
          <t>Provisional – management to confirm</t>
        </is>
      </c>
    </row>
    <row r="12">
      <c r="A12" s="3" t="inlineStr">
        <is>
          <t>Implementation timeline and delivery</t>
        </is>
      </c>
      <c r="B12" s="7" t="n">
        <v>0.2</v>
      </c>
      <c r="C12" s="4" t="inlineStr">
        <is>
          <t>Provisional – management to confirm</t>
        </is>
      </c>
    </row>
    <row r="13">
      <c r="A13" s="3" t="inlineStr">
        <is>
          <t>Total cost and value</t>
        </is>
      </c>
      <c r="B13" s="7" t="n">
        <v>0.2</v>
      </c>
      <c r="C13" s="4" t="inlineStr">
        <is>
          <t>Provisional – management to confirm</t>
        </is>
      </c>
    </row>
    <row r="14">
      <c r="A14" s="3" t="inlineStr">
        <is>
          <t>Security, ownership, and data protection</t>
        </is>
      </c>
      <c r="B14" s="7" t="n">
        <v>0.2</v>
      </c>
      <c r="C14" s="4" t="inlineStr">
        <is>
          <t>Provisional – management to confirm</t>
        </is>
      </c>
    </row>
    <row r="15">
      <c r="A15" s="3" t="inlineStr">
        <is>
          <t>Relevant experience and references</t>
        </is>
      </c>
      <c r="B15" s="7" t="n">
        <v>0.1</v>
      </c>
      <c r="C15" s="4" t="inlineStr">
        <is>
          <t>Provisional – management to confirm</t>
        </is>
      </c>
    </row>
    <row r="16">
      <c r="A16" s="3" t="inlineStr">
        <is>
          <t>Support and operational suitability</t>
        </is>
      </c>
      <c r="B16" s="7" t="n">
        <v>0.05</v>
      </c>
      <c r="C16" s="4" t="inlineStr">
        <is>
          <t>Provisional – management to confirm</t>
        </is>
      </c>
    </row>
    <row r="17">
      <c r="A17" s="8" t="inlineStr">
        <is>
          <t>Total (must equal 100%)</t>
        </is>
      </c>
      <c r="B17" s="9">
        <f>SUM(B11:B16)</f>
        <v/>
      </c>
      <c r="C17" s="4">
        <f>IF(ROUND(B17,4)=1,"OK","Weights must total 100%")</f>
        <v/>
      </c>
    </row>
    <row r="19">
      <c r="A19" s="8" t="inlineStr">
        <is>
          <t>Minimum completeness to rank a vendor</t>
        </is>
      </c>
      <c r="B19" s="7" t="n">
        <v>0.8</v>
      </c>
      <c r="C19" s="4" t="inlineStr">
        <is>
          <t>Below this, vendor is flagged 'Insufficient information' and not ranked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4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Mandatory pass / fail checks</t>
        </is>
      </c>
    </row>
    <row r="2">
      <c r="A2" s="2" t="inlineStr">
        <is>
          <t>Fail on any gate = proposal excluded. Pending = evidence outstanding (follow up). Blank counts as Pending.</t>
        </is>
      </c>
    </row>
    <row r="4">
      <c r="A4" s="5" t="inlineStr">
        <is>
          <t>ID</t>
        </is>
      </c>
      <c r="B4" s="5" t="inlineStr">
        <is>
          <t>Mandatory check</t>
        </is>
      </c>
      <c r="C4" s="5" t="inlineStr">
        <is>
          <t>What counts as evidence</t>
        </is>
      </c>
      <c r="D4" s="5">
        <f>Vendors!$B$4</f>
        <v/>
      </c>
      <c r="E4" s="5">
        <f>Vendors!$B$5</f>
        <v/>
      </c>
      <c r="F4" s="5">
        <f>Vendors!$B$6</f>
        <v/>
      </c>
      <c r="G4" s="5">
        <f>Vendors!$B$7</f>
        <v/>
      </c>
    </row>
    <row r="5" ht="48" customHeight="1">
      <c r="A5" s="8" t="inlineStr">
        <is>
          <t>G1</t>
        </is>
      </c>
      <c r="B5" s="4" t="inlineStr">
        <is>
          <t>Official WhatsApp Business Platform integration; WABA/number/Meta portfolio registered to BES with BES admin control</t>
        </is>
      </c>
      <c r="C5" s="4" t="inlineStr">
        <is>
          <t>Written route statement; WABA ownership screenshots; partner status verified with Meta or in BES's Meta Business Manager</t>
        </is>
      </c>
      <c r="D5" s="6" t="n"/>
      <c r="E5" s="6" t="n"/>
      <c r="F5" s="6" t="n"/>
      <c r="G5" s="6" t="n"/>
    </row>
    <row r="6" ht="48" customHeight="1">
      <c r="A6" s="8" t="inlineStr">
        <is>
          <t>G2</t>
        </is>
      </c>
      <c r="B6" s="4" t="inlineStr">
        <is>
          <t>BES ownership of data, content, knowledge base and configuration; BES holds super-admin rights; no vendor-only credentials</t>
        </is>
      </c>
      <c r="C6" s="4" t="inlineStr">
        <is>
          <t>Contract/ownership statement; account list showing owners</t>
        </is>
      </c>
      <c r="D6" s="6" t="n"/>
      <c r="E6" s="6" t="n"/>
      <c r="F6" s="6" t="n"/>
      <c r="G6" s="6" t="n"/>
    </row>
    <row r="7" ht="48" customHeight="1">
      <c r="A7" s="8" t="inlineStr">
        <is>
          <t>G3</t>
        </is>
      </c>
      <c r="B7" s="4" t="inlineStr">
        <is>
          <t>Role-based access control and MFA (at least admins), including restriction by team/department as BES requires</t>
        </is>
      </c>
      <c r="C7" s="4" t="inlineStr">
        <is>
          <t>Live demo; role matrix; MFA demonstration</t>
        </is>
      </c>
      <c r="D7" s="6" t="n"/>
      <c r="E7" s="6" t="n"/>
      <c r="F7" s="6" t="n"/>
      <c r="G7" s="6" t="n"/>
    </row>
    <row r="8" ht="48" customHeight="1">
      <c r="A8" s="8" t="inlineStr">
        <is>
          <t>G4</t>
        </is>
      </c>
      <c r="B8" s="4" t="inlineStr">
        <is>
          <t>Data portability: full export in open formats; documented exit and deletion process</t>
        </is>
      </c>
      <c r="C8" s="4" t="inlineStr">
        <is>
          <t>Sample export; exit clause</t>
        </is>
      </c>
      <c r="D8" s="6" t="n"/>
      <c r="E8" s="6" t="n"/>
      <c r="F8" s="6" t="n"/>
      <c r="G8" s="6" t="n"/>
    </row>
    <row r="9" ht="48" customHeight="1">
      <c r="A9" s="8" t="inlineStr">
        <is>
          <t>G5</t>
        </is>
      </c>
      <c r="B9" s="4" t="inlineStr">
        <is>
          <t>Security baseline: encryption in transit and at rest, audit logs, backups with restore capability, incident notification</t>
        </is>
      </c>
      <c r="C9" s="4" t="inlineStr">
        <is>
          <t>Security policy/whitepaper; certificates (scope+date checked); pen-test summary; backup policy</t>
        </is>
      </c>
      <c r="D9" s="6" t="n"/>
      <c r="E9" s="6" t="n"/>
      <c r="F9" s="6" t="n"/>
      <c r="G9" s="6" t="n"/>
    </row>
    <row r="10" ht="48" customHeight="1">
      <c r="A10" s="8" t="inlineStr">
        <is>
          <t>G6</t>
        </is>
      </c>
      <c r="B10" s="4" t="inlineStr">
        <is>
          <t>Disclosure of hosting locations, AI providers and sub-processors; no training of shared/public AI models on BES data</t>
        </is>
      </c>
      <c r="C10" s="4" t="inlineStr">
        <is>
          <t>Sub-processor list; AI provider terms; written no-training commitment</t>
        </is>
      </c>
      <c r="D10" s="6" t="n"/>
      <c r="E10" s="6" t="n"/>
      <c r="F10" s="6" t="n"/>
      <c r="G10" s="6" t="n"/>
    </row>
    <row r="11" ht="48" customHeight="1">
      <c r="A11" s="8" t="inlineStr">
        <is>
          <t>G7</t>
        </is>
      </c>
      <c r="B11" s="4" t="inlineStr">
        <is>
          <t>Willing to sign a data-processing agreement consistent with NDPA 2023 before real client data is processed</t>
        </is>
      </c>
      <c r="C11" s="4" t="inlineStr">
        <is>
          <t>Draft DPA; cross-border transfer mechanism</t>
        </is>
      </c>
      <c r="D11" s="6" t="n"/>
      <c r="E11" s="6" t="n"/>
      <c r="F11" s="6" t="n"/>
      <c r="G11" s="6" t="n"/>
    </row>
    <row r="12" ht="48" customHeight="1">
      <c r="A12" s="8" t="inlineStr">
        <is>
          <t>G8</t>
        </is>
      </c>
      <c r="B12" s="4" t="inlineStr">
        <is>
          <t>Clearly defined deliverables, milestones, acceptance criteria and itemised pricing for the proposed scope</t>
        </is>
      </c>
      <c r="C12" s="4" t="inlineStr">
        <is>
          <t>Completed Parts D and E of quotation template</t>
        </is>
      </c>
      <c r="D12" s="6" t="n"/>
      <c r="E12" s="6" t="n"/>
      <c r="F12" s="6" t="n"/>
      <c r="G12" s="6" t="n"/>
    </row>
    <row r="13">
      <c r="B13" s="3" t="inlineStr">
        <is>
          <t>OVERALL GATE RESULT</t>
        </is>
      </c>
      <c r="D13" s="10">
        <f>IF(COUNTIF(D5:D12,"Fail")&gt;0,"FAIL",IF(COUNTIF(D5:D12,"Pass")=8,"PASS","HOLD – follow up"))</f>
        <v/>
      </c>
      <c r="E13" s="10">
        <f>IF(COUNTIF(E5:E12,"Fail")&gt;0,"FAIL",IF(COUNTIF(E5:E12,"Pass")=8,"PASS","HOLD – follow up"))</f>
        <v/>
      </c>
      <c r="F13" s="10">
        <f>IF(COUNTIF(F5:F12,"Fail")&gt;0,"FAIL",IF(COUNTIF(F5:F12,"Pass")=8,"PASS","HOLD – follow up"))</f>
        <v/>
      </c>
      <c r="G13" s="10">
        <f>IF(COUNTIF(G5:G12,"Fail")&gt;0,"FAIL",IF(COUNTIF(G5:G12,"Pass")=8,"PASS","HOLD – follow up"))</f>
        <v/>
      </c>
    </row>
    <row r="15">
      <c r="B15" s="8" t="inlineStr">
        <is>
          <t>Notes on any Fail/Pending (evidence, date requested, owner):</t>
        </is>
      </c>
    </row>
    <row r="16">
      <c r="B16" s="6" t="inlineStr"/>
    </row>
    <row r="17">
      <c r="B17" s="6" t="inlineStr"/>
    </row>
    <row r="18">
      <c r="B18" s="6" t="inlineStr"/>
    </row>
    <row r="19">
      <c r="B19" s="6" t="inlineStr"/>
    </row>
  </sheetData>
  <conditionalFormatting sqref="D5:G13">
    <cfRule type="cellIs" priority="1" operator="equal" dxfId="0">
      <formula>"Fail"</formula>
    </cfRule>
    <cfRule type="cellIs" priority="2" operator="equal" dxfId="0">
      <formula>"FAIL"</formula>
    </cfRule>
    <cfRule type="cellIs" priority="3" operator="equal" dxfId="1">
      <formula>"Pass"</formula>
    </cfRule>
    <cfRule type="cellIs" priority="4" operator="equal" dxfId="1">
      <formula>"PASS"</formula>
    </cfRule>
  </conditionalFormatting>
  <dataValidations count="1">
    <dataValidation sqref="D5:G12" showDropDown="0" showInputMessage="0" showErrorMessage="0" allowBlank="1" type="list">
      <formula1>"Pass,Fail,Pending"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46" customWidth="1" min="3" max="3"/>
    <col width="34" customWidth="1" min="4" max="4"/>
    <col width="24" customWidth="1" min="5" max="5"/>
    <col width="14" customWidth="1" min="6" max="6"/>
    <col width="20" customWidth="1" min="7" max="7"/>
    <col width="40" customWidth="1" min="8" max="8"/>
    <col width="14" customWidth="1" min="9" max="9"/>
  </cols>
  <sheetData>
    <row r="1">
      <c r="A1" s="1" t="inlineStr">
        <is>
          <t>Live demonstration checklist</t>
        </is>
      </c>
    </row>
    <row r="2">
      <c r="A2" s="11">
        <f>"Vendor: "&amp;Vendors!$B$4</f>
        <v/>
      </c>
    </row>
    <row r="4">
      <c r="A4" s="5" t="inlineStr">
        <is>
          <t>#</t>
        </is>
      </c>
      <c r="B4" s="5" t="inlineStr">
        <is>
          <t>Demonstration item</t>
        </is>
      </c>
      <c r="C4" s="5" t="inlineStr">
        <is>
          <t>What to see</t>
        </is>
      </c>
      <c r="D4" s="5" t="inlineStr">
        <is>
          <t>Pass standard</t>
        </is>
      </c>
      <c r="E4" s="5" t="inlineStr">
        <is>
          <t>Availability (Now / Configuration / Development / Not available / Not shown)</t>
        </is>
      </c>
      <c r="F4" s="5" t="inlineStr">
        <is>
          <t>Rating 0–5 (blank if not shown)</t>
        </is>
      </c>
      <c r="G4" s="5" t="inlineStr">
        <is>
          <t>Cost to close gap (₦) if Configuration/Development</t>
        </is>
      </c>
      <c r="H4" s="5" t="inlineStr">
        <is>
          <t>Evidence / notes</t>
        </is>
      </c>
      <c r="I4" s="5" t="inlineStr">
        <is>
          <t>Follow-up needed?</t>
        </is>
      </c>
    </row>
    <row r="5" ht="46" customHeight="1">
      <c r="A5" s="4" t="n">
        <v>1</v>
      </c>
      <c r="B5" s="8" t="inlineStr">
        <is>
          <t>Incoming WhatsApp enquiry</t>
        </is>
      </c>
      <c r="C5" s="4" t="inlineStr">
        <is>
          <t>Message sent to test number appears in inbox with time, number and history</t>
        </is>
      </c>
      <c r="D5" s="4" t="inlineStr">
        <is>
          <t>Arrives on official integration; no manual step</t>
        </is>
      </c>
      <c r="E5" s="6" t="n"/>
      <c r="F5" s="6" t="n"/>
      <c r="G5" s="6" t="n"/>
      <c r="H5" s="6" t="n"/>
      <c r="I5" s="6" t="n"/>
    </row>
    <row r="6" ht="46" customHeight="1">
      <c r="A6" s="4" t="n">
        <v>2</v>
      </c>
      <c r="B6" s="8" t="inlineStr">
        <is>
          <t>AI-generated response</t>
        </is>
      </c>
      <c r="C6" s="4" t="inlineStr">
        <is>
          <t>Reply uses only approved content; discloses automation; unknown and trap questions handled safely</t>
        </is>
      </c>
      <c r="D6" s="4" t="inlineStr">
        <is>
          <t>Correct answer; safe refusal/handover on unknown; source visible</t>
        </is>
      </c>
      <c r="E6" s="6" t="n"/>
      <c r="F6" s="6" t="n"/>
      <c r="G6" s="6" t="n"/>
      <c r="H6" s="6" t="n"/>
      <c r="I6" s="6" t="n"/>
    </row>
    <row r="7" ht="46" customHeight="1">
      <c r="A7" s="4" t="n">
        <v>3</v>
      </c>
      <c r="B7" s="8" t="inlineStr">
        <is>
          <t>Lead creation in CRM</t>
        </is>
      </c>
      <c r="C7" s="4" t="inlineStr">
        <is>
          <t>Record created automatically with captured fields; linked conversation; duplicate check</t>
        </is>
      </c>
      <c r="D7" s="4" t="inlineStr">
        <is>
          <t>No manual entry; fields correct</t>
        </is>
      </c>
      <c r="E7" s="6" t="n"/>
      <c r="F7" s="6" t="n"/>
      <c r="G7" s="6" t="n"/>
      <c r="H7" s="6" t="n"/>
      <c r="I7" s="6" t="n"/>
    </row>
    <row r="8" ht="46" customHeight="1">
      <c r="A8" s="4" t="n">
        <v>4</v>
      </c>
      <c r="B8" s="8" t="inlineStr">
        <is>
          <t>Staff assignment</t>
        </is>
      </c>
      <c r="C8" s="4" t="inlineStr">
        <is>
          <t>Rule-based and manual assignment; unassigned queue</t>
        </is>
      </c>
      <c r="D8" s="4" t="inlineStr">
        <is>
          <t>Correct owner; reassignment logged</t>
        </is>
      </c>
      <c r="E8" s="6" t="n"/>
      <c r="F8" s="6" t="n"/>
      <c r="G8" s="6" t="n"/>
      <c r="H8" s="6" t="n"/>
      <c r="I8" s="6" t="n"/>
    </row>
    <row r="9" ht="46" customHeight="1">
      <c r="A9" s="4" t="n">
        <v>5</v>
      </c>
      <c r="B9" s="8" t="inlineStr">
        <is>
          <t>Personalised document checklist</t>
        </is>
      </c>
      <c r="C9" s="4" t="inlineStr">
        <is>
          <t>Different categories produce different approved checklists; BES admin can edit templates</t>
        </is>
      </c>
      <c r="D9" s="4" t="inlineStr">
        <is>
          <t>Correct lists; edit without vendor</t>
        </is>
      </c>
      <c r="E9" s="6" t="n"/>
      <c r="F9" s="6" t="n"/>
      <c r="G9" s="6" t="n"/>
      <c r="H9" s="6" t="n"/>
      <c r="I9" s="6" t="n"/>
    </row>
    <row r="10" ht="46" customHeight="1">
      <c r="A10" s="4" t="n">
        <v>6</v>
      </c>
      <c r="B10" s="8" t="inlineStr">
        <is>
          <t>Document-status tracking</t>
        </is>
      </c>
      <c r="C10" s="4" t="inlineStr">
        <is>
          <t>Document received against checklist item; accept/reject; outstanding view</t>
        </is>
      </c>
      <c r="D10" s="4" t="inlineStr">
        <is>
          <t>Accurate status; access controlled</t>
        </is>
      </c>
      <c r="E10" s="6" t="n"/>
      <c r="F10" s="6" t="n"/>
      <c r="G10" s="6" t="n"/>
      <c r="H10" s="6" t="n"/>
      <c r="I10" s="6" t="n"/>
    </row>
    <row r="11" ht="46" customHeight="1">
      <c r="A11" s="4" t="n">
        <v>7</v>
      </c>
      <c r="B11" s="8" t="inlineStr">
        <is>
          <t>Follow-up scheduling</t>
        </is>
      </c>
      <c r="C11" s="4" t="inlineStr">
        <is>
          <t>Reminder sequence; stop on reply; opt-out; template/24-hour window handling</t>
        </is>
      </c>
      <c r="D11" s="4" t="inlineStr">
        <is>
          <t>Runs as configured; compliant</t>
        </is>
      </c>
      <c r="E11" s="6" t="n"/>
      <c r="F11" s="6" t="n"/>
      <c r="G11" s="6" t="n"/>
      <c r="H11" s="6" t="n"/>
      <c r="I11" s="6" t="n"/>
    </row>
    <row r="12" ht="46" customHeight="1">
      <c r="A12" s="4" t="n">
        <v>8</v>
      </c>
      <c r="B12" s="8" t="inlineStr">
        <is>
          <t>Human handover</t>
        </is>
      </c>
      <c r="C12" s="4" t="inlineStr">
        <is>
          <t>Triggers: ask for person, complaint, low confidence; AI stops; staff notified</t>
        </is>
      </c>
      <c r="D12" s="4" t="inlineStr">
        <is>
          <t>Correct trigger, notice and AI pause</t>
        </is>
      </c>
      <c r="E12" s="6" t="n"/>
      <c r="F12" s="6" t="n"/>
      <c r="G12" s="6" t="n"/>
      <c r="H12" s="6" t="n"/>
      <c r="I12" s="6" t="n"/>
    </row>
    <row r="13" ht="46" customHeight="1">
      <c r="A13" s="4" t="n">
        <v>9</v>
      </c>
      <c r="B13" s="8" t="inlineStr">
        <is>
          <t>Management reporting</t>
        </is>
      </c>
      <c r="C13" s="4" t="inlineStr">
        <is>
          <t>Dashboard of enquiries, response time, stages, overdue, documents; metric definitions</t>
        </is>
      </c>
      <c r="D13" s="4" t="inlineStr">
        <is>
          <t>Figures reconcile with test data</t>
        </is>
      </c>
      <c r="E13" s="6" t="n"/>
      <c r="F13" s="6" t="n"/>
      <c r="G13" s="6" t="n"/>
      <c r="H13" s="6" t="n"/>
      <c r="I13" s="6" t="n"/>
    </row>
    <row r="14" ht="46" customHeight="1">
      <c r="A14" s="4" t="n">
        <v>10</v>
      </c>
      <c r="B14" s="8" t="inlineStr">
        <is>
          <t>Role-based access</t>
        </is>
      </c>
      <c r="C14" s="4" t="inlineStr">
        <is>
          <t>Two roles see different data/actions; MFA shown</t>
        </is>
      </c>
      <c r="D14" s="4" t="inlineStr">
        <is>
          <t>Restrictions enforced</t>
        </is>
      </c>
      <c r="E14" s="6" t="n"/>
      <c r="F14" s="6" t="n"/>
      <c r="G14" s="6" t="n"/>
      <c r="H14" s="6" t="n"/>
      <c r="I14" s="6" t="n"/>
    </row>
    <row r="15" ht="46" customHeight="1">
      <c r="A15" s="4" t="n">
        <v>11</v>
      </c>
      <c r="B15" s="8" t="inlineStr">
        <is>
          <t>Audit history</t>
        </is>
      </c>
      <c r="C15" s="4" t="inlineStr">
        <is>
          <t>Log of the demo actions incl. config changes and exports</t>
        </is>
      </c>
      <c r="D15" s="4" t="inlineStr">
        <is>
          <t>Who/what/when accurate; not editable</t>
        </is>
      </c>
      <c r="E15" s="6" t="n"/>
      <c r="F15" s="6" t="n"/>
      <c r="G15" s="6" t="n"/>
      <c r="H15" s="6" t="n"/>
      <c r="I15" s="6" t="n"/>
    </row>
    <row r="16" ht="46" customHeight="1">
      <c r="A16" s="4" t="n">
        <v>12</v>
      </c>
      <c r="B16" s="8" t="inlineStr">
        <is>
          <t>Data export</t>
        </is>
      </c>
      <c r="C16" s="4" t="inlineStr">
        <is>
          <t>Export of contacts, conversations, documents in open formats</t>
        </is>
      </c>
      <c r="D16" s="4" t="inlineStr">
        <is>
          <t>Complete; usable</t>
        </is>
      </c>
      <c r="E16" s="6" t="n"/>
      <c r="F16" s="6" t="n"/>
      <c r="G16" s="6" t="n"/>
      <c r="H16" s="6" t="n"/>
      <c r="I16" s="6" t="n"/>
    </row>
    <row r="18">
      <c r="B18" s="3" t="inlineStr">
        <is>
          <t>Average demonstration rating (rated items only)</t>
        </is>
      </c>
      <c r="F18" s="12">
        <f>IF(COUNT(F5:F16)=0,"",AVERAGE(F5:F16))</f>
        <v/>
      </c>
    </row>
    <row r="19">
      <c r="B19" s="3" t="inlineStr">
        <is>
          <t>Items rated ÷ 12 (demo completeness)</t>
        </is>
      </c>
      <c r="F19" s="9">
        <f>COUNT(F5:F16)/12</f>
        <v/>
      </c>
    </row>
    <row r="20">
      <c r="B20" s="3" t="inlineStr">
        <is>
          <t>Items needing configuration / development</t>
        </is>
      </c>
      <c r="F20" s="10">
        <f>COUNTIF(E5:E16,"Configuration")&amp;" / "&amp;COUNTIF(E5:E16,"Development")</f>
        <v/>
      </c>
    </row>
  </sheetData>
  <dataValidations count="2">
    <dataValidation sqref="E5:E16" showDropDown="0" showInputMessage="0" showErrorMessage="0" allowBlank="1" type="list">
      <formula1>"Now,Configuration,Development,Not available,Not shown"</formula1>
    </dataValidation>
    <dataValidation sqref="F5:F16" showDropDown="0" showInputMessage="0" showErrorMessage="0" allowBlank="1" type="whole" operator="between">
      <formula1>0</formula1>
      <formula2>5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46" customWidth="1" min="3" max="3"/>
    <col width="34" customWidth="1" min="4" max="4"/>
    <col width="24" customWidth="1" min="5" max="5"/>
    <col width="14" customWidth="1" min="6" max="6"/>
    <col width="20" customWidth="1" min="7" max="7"/>
    <col width="40" customWidth="1" min="8" max="8"/>
    <col width="14" customWidth="1" min="9" max="9"/>
  </cols>
  <sheetData>
    <row r="1">
      <c r="A1" s="1" t="inlineStr">
        <is>
          <t>Live demonstration checklist</t>
        </is>
      </c>
    </row>
    <row r="2">
      <c r="A2" s="11">
        <f>"Vendor: "&amp;Vendors!$B$5</f>
        <v/>
      </c>
    </row>
    <row r="4">
      <c r="A4" s="5" t="inlineStr">
        <is>
          <t>#</t>
        </is>
      </c>
      <c r="B4" s="5" t="inlineStr">
        <is>
          <t>Demonstration item</t>
        </is>
      </c>
      <c r="C4" s="5" t="inlineStr">
        <is>
          <t>What to see</t>
        </is>
      </c>
      <c r="D4" s="5" t="inlineStr">
        <is>
          <t>Pass standard</t>
        </is>
      </c>
      <c r="E4" s="5" t="inlineStr">
        <is>
          <t>Availability (Now / Configuration / Development / Not available / Not shown)</t>
        </is>
      </c>
      <c r="F4" s="5" t="inlineStr">
        <is>
          <t>Rating 0–5 (blank if not shown)</t>
        </is>
      </c>
      <c r="G4" s="5" t="inlineStr">
        <is>
          <t>Cost to close gap (₦) if Configuration/Development</t>
        </is>
      </c>
      <c r="H4" s="5" t="inlineStr">
        <is>
          <t>Evidence / notes</t>
        </is>
      </c>
      <c r="I4" s="5" t="inlineStr">
        <is>
          <t>Follow-up needed?</t>
        </is>
      </c>
    </row>
    <row r="5" ht="46" customHeight="1">
      <c r="A5" s="4" t="n">
        <v>1</v>
      </c>
      <c r="B5" s="8" t="inlineStr">
        <is>
          <t>Incoming WhatsApp enquiry</t>
        </is>
      </c>
      <c r="C5" s="4" t="inlineStr">
        <is>
          <t>Message sent to test number appears in inbox with time, number and history</t>
        </is>
      </c>
      <c r="D5" s="4" t="inlineStr">
        <is>
          <t>Arrives on official integration; no manual step</t>
        </is>
      </c>
      <c r="E5" s="6" t="n"/>
      <c r="F5" s="6" t="n"/>
      <c r="G5" s="6" t="n"/>
      <c r="H5" s="6" t="n"/>
      <c r="I5" s="6" t="n"/>
    </row>
    <row r="6" ht="46" customHeight="1">
      <c r="A6" s="4" t="n">
        <v>2</v>
      </c>
      <c r="B6" s="8" t="inlineStr">
        <is>
          <t>AI-generated response</t>
        </is>
      </c>
      <c r="C6" s="4" t="inlineStr">
        <is>
          <t>Reply uses only approved content; discloses automation; unknown and trap questions handled safely</t>
        </is>
      </c>
      <c r="D6" s="4" t="inlineStr">
        <is>
          <t>Correct answer; safe refusal/handover on unknown; source visible</t>
        </is>
      </c>
      <c r="E6" s="6" t="n"/>
      <c r="F6" s="6" t="n"/>
      <c r="G6" s="6" t="n"/>
      <c r="H6" s="6" t="n"/>
      <c r="I6" s="6" t="n"/>
    </row>
    <row r="7" ht="46" customHeight="1">
      <c r="A7" s="4" t="n">
        <v>3</v>
      </c>
      <c r="B7" s="8" t="inlineStr">
        <is>
          <t>Lead creation in CRM</t>
        </is>
      </c>
      <c r="C7" s="4" t="inlineStr">
        <is>
          <t>Record created automatically with captured fields; linked conversation; duplicate check</t>
        </is>
      </c>
      <c r="D7" s="4" t="inlineStr">
        <is>
          <t>No manual entry; fields correct</t>
        </is>
      </c>
      <c r="E7" s="6" t="n"/>
      <c r="F7" s="6" t="n"/>
      <c r="G7" s="6" t="n"/>
      <c r="H7" s="6" t="n"/>
      <c r="I7" s="6" t="n"/>
    </row>
    <row r="8" ht="46" customHeight="1">
      <c r="A8" s="4" t="n">
        <v>4</v>
      </c>
      <c r="B8" s="8" t="inlineStr">
        <is>
          <t>Staff assignment</t>
        </is>
      </c>
      <c r="C8" s="4" t="inlineStr">
        <is>
          <t>Rule-based and manual assignment; unassigned queue</t>
        </is>
      </c>
      <c r="D8" s="4" t="inlineStr">
        <is>
          <t>Correct owner; reassignment logged</t>
        </is>
      </c>
      <c r="E8" s="6" t="n"/>
      <c r="F8" s="6" t="n"/>
      <c r="G8" s="6" t="n"/>
      <c r="H8" s="6" t="n"/>
      <c r="I8" s="6" t="n"/>
    </row>
    <row r="9" ht="46" customHeight="1">
      <c r="A9" s="4" t="n">
        <v>5</v>
      </c>
      <c r="B9" s="8" t="inlineStr">
        <is>
          <t>Personalised document checklist</t>
        </is>
      </c>
      <c r="C9" s="4" t="inlineStr">
        <is>
          <t>Different categories produce different approved checklists; BES admin can edit templates</t>
        </is>
      </c>
      <c r="D9" s="4" t="inlineStr">
        <is>
          <t>Correct lists; edit without vendor</t>
        </is>
      </c>
      <c r="E9" s="6" t="n"/>
      <c r="F9" s="6" t="n"/>
      <c r="G9" s="6" t="n"/>
      <c r="H9" s="6" t="n"/>
      <c r="I9" s="6" t="n"/>
    </row>
    <row r="10" ht="46" customHeight="1">
      <c r="A10" s="4" t="n">
        <v>6</v>
      </c>
      <c r="B10" s="8" t="inlineStr">
        <is>
          <t>Document-status tracking</t>
        </is>
      </c>
      <c r="C10" s="4" t="inlineStr">
        <is>
          <t>Document received against checklist item; accept/reject; outstanding view</t>
        </is>
      </c>
      <c r="D10" s="4" t="inlineStr">
        <is>
          <t>Accurate status; access controlled</t>
        </is>
      </c>
      <c r="E10" s="6" t="n"/>
      <c r="F10" s="6" t="n"/>
      <c r="G10" s="6" t="n"/>
      <c r="H10" s="6" t="n"/>
      <c r="I10" s="6" t="n"/>
    </row>
    <row r="11" ht="46" customHeight="1">
      <c r="A11" s="4" t="n">
        <v>7</v>
      </c>
      <c r="B11" s="8" t="inlineStr">
        <is>
          <t>Follow-up scheduling</t>
        </is>
      </c>
      <c r="C11" s="4" t="inlineStr">
        <is>
          <t>Reminder sequence; stop on reply; opt-out; template/24-hour window handling</t>
        </is>
      </c>
      <c r="D11" s="4" t="inlineStr">
        <is>
          <t>Runs as configured; compliant</t>
        </is>
      </c>
      <c r="E11" s="6" t="n"/>
      <c r="F11" s="6" t="n"/>
      <c r="G11" s="6" t="n"/>
      <c r="H11" s="6" t="n"/>
      <c r="I11" s="6" t="n"/>
    </row>
    <row r="12" ht="46" customHeight="1">
      <c r="A12" s="4" t="n">
        <v>8</v>
      </c>
      <c r="B12" s="8" t="inlineStr">
        <is>
          <t>Human handover</t>
        </is>
      </c>
      <c r="C12" s="4" t="inlineStr">
        <is>
          <t>Triggers: ask for person, complaint, low confidence; AI stops; staff notified</t>
        </is>
      </c>
      <c r="D12" s="4" t="inlineStr">
        <is>
          <t>Correct trigger, notice and AI pause</t>
        </is>
      </c>
      <c r="E12" s="6" t="n"/>
      <c r="F12" s="6" t="n"/>
      <c r="G12" s="6" t="n"/>
      <c r="H12" s="6" t="n"/>
      <c r="I12" s="6" t="n"/>
    </row>
    <row r="13" ht="46" customHeight="1">
      <c r="A13" s="4" t="n">
        <v>9</v>
      </c>
      <c r="B13" s="8" t="inlineStr">
        <is>
          <t>Management reporting</t>
        </is>
      </c>
      <c r="C13" s="4" t="inlineStr">
        <is>
          <t>Dashboard of enquiries, response time, stages, overdue, documents; metric definitions</t>
        </is>
      </c>
      <c r="D13" s="4" t="inlineStr">
        <is>
          <t>Figures reconcile with test data</t>
        </is>
      </c>
      <c r="E13" s="6" t="n"/>
      <c r="F13" s="6" t="n"/>
      <c r="G13" s="6" t="n"/>
      <c r="H13" s="6" t="n"/>
      <c r="I13" s="6" t="n"/>
    </row>
    <row r="14" ht="46" customHeight="1">
      <c r="A14" s="4" t="n">
        <v>10</v>
      </c>
      <c r="B14" s="8" t="inlineStr">
        <is>
          <t>Role-based access</t>
        </is>
      </c>
      <c r="C14" s="4" t="inlineStr">
        <is>
          <t>Two roles see different data/actions; MFA shown</t>
        </is>
      </c>
      <c r="D14" s="4" t="inlineStr">
        <is>
          <t>Restrictions enforced</t>
        </is>
      </c>
      <c r="E14" s="6" t="n"/>
      <c r="F14" s="6" t="n"/>
      <c r="G14" s="6" t="n"/>
      <c r="H14" s="6" t="n"/>
      <c r="I14" s="6" t="n"/>
    </row>
    <row r="15" ht="46" customHeight="1">
      <c r="A15" s="4" t="n">
        <v>11</v>
      </c>
      <c r="B15" s="8" t="inlineStr">
        <is>
          <t>Audit history</t>
        </is>
      </c>
      <c r="C15" s="4" t="inlineStr">
        <is>
          <t>Log of the demo actions incl. config changes and exports</t>
        </is>
      </c>
      <c r="D15" s="4" t="inlineStr">
        <is>
          <t>Who/what/when accurate; not editable</t>
        </is>
      </c>
      <c r="E15" s="6" t="n"/>
      <c r="F15" s="6" t="n"/>
      <c r="G15" s="6" t="n"/>
      <c r="H15" s="6" t="n"/>
      <c r="I15" s="6" t="n"/>
    </row>
    <row r="16" ht="46" customHeight="1">
      <c r="A16" s="4" t="n">
        <v>12</v>
      </c>
      <c r="B16" s="8" t="inlineStr">
        <is>
          <t>Data export</t>
        </is>
      </c>
      <c r="C16" s="4" t="inlineStr">
        <is>
          <t>Export of contacts, conversations, documents in open formats</t>
        </is>
      </c>
      <c r="D16" s="4" t="inlineStr">
        <is>
          <t>Complete; usable</t>
        </is>
      </c>
      <c r="E16" s="6" t="n"/>
      <c r="F16" s="6" t="n"/>
      <c r="G16" s="6" t="n"/>
      <c r="H16" s="6" t="n"/>
      <c r="I16" s="6" t="n"/>
    </row>
    <row r="18">
      <c r="B18" s="3" t="inlineStr">
        <is>
          <t>Average demonstration rating (rated items only)</t>
        </is>
      </c>
      <c r="F18" s="12">
        <f>IF(COUNT(F5:F16)=0,"",AVERAGE(F5:F16))</f>
        <v/>
      </c>
    </row>
    <row r="19">
      <c r="B19" s="3" t="inlineStr">
        <is>
          <t>Items rated ÷ 12 (demo completeness)</t>
        </is>
      </c>
      <c r="F19" s="9">
        <f>COUNT(F5:F16)/12</f>
        <v/>
      </c>
    </row>
    <row r="20">
      <c r="B20" s="3" t="inlineStr">
        <is>
          <t>Items needing configuration / development</t>
        </is>
      </c>
      <c r="F20" s="10">
        <f>COUNTIF(E5:E16,"Configuration")&amp;" / "&amp;COUNTIF(E5:E16,"Development")</f>
        <v/>
      </c>
    </row>
  </sheetData>
  <dataValidations count="2">
    <dataValidation sqref="E5:E16" showDropDown="0" showInputMessage="0" showErrorMessage="0" allowBlank="1" type="list">
      <formula1>"Now,Configuration,Development,Not available,Not shown"</formula1>
    </dataValidation>
    <dataValidation sqref="F5:F16" showDropDown="0" showInputMessage="0" showErrorMessage="0" allowBlank="1" type="whole" operator="between">
      <formula1>0</formula1>
      <formula2>5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Price comparison (from vendors' Part E / pricing workbook)</t>
        </is>
      </c>
    </row>
    <row r="2">
      <c r="A2" s="2" t="inlineStr">
        <is>
          <t>Enter like-for-like totals in ₦ for the same scope and Base scenario. Taxes treatment must be consistent.</t>
        </is>
      </c>
    </row>
    <row r="4">
      <c r="A4" s="5" t="inlineStr">
        <is>
          <t>Item</t>
        </is>
      </c>
      <c r="B4" s="5">
        <f>Vendors!$B$4</f>
        <v/>
      </c>
      <c r="C4" s="5">
        <f>Vendors!$B$5</f>
        <v/>
      </c>
      <c r="D4" s="5">
        <f>Vendors!$B$6</f>
        <v/>
      </c>
      <c r="E4" s="5">
        <f>Vendors!$B$7</f>
        <v/>
      </c>
    </row>
    <row r="5">
      <c r="A5" s="3" t="inlineStr">
        <is>
          <t>First-year total cost (₦) – Base scenario</t>
        </is>
      </c>
      <c r="B5" s="13" t="n"/>
      <c r="C5" s="13" t="n"/>
      <c r="D5" s="13" t="n"/>
      <c r="E5" s="13" t="n"/>
    </row>
    <row r="6">
      <c r="A6" s="3" t="inlineStr">
        <is>
          <t>Year 2 recurring cost (₦)</t>
        </is>
      </c>
      <c r="B6" s="13" t="n"/>
      <c r="C6" s="13" t="n"/>
      <c r="D6" s="13" t="n"/>
      <c r="E6" s="13" t="n"/>
    </row>
    <row r="7">
      <c r="A7" s="3" t="inlineStr">
        <is>
          <t>Year 3 recurring cost (₦)</t>
        </is>
      </c>
      <c r="B7" s="13" t="n"/>
      <c r="C7" s="13" t="n"/>
      <c r="D7" s="13" t="n"/>
      <c r="E7" s="13" t="n"/>
    </row>
    <row r="8">
      <c r="A8" s="3" t="inlineStr">
        <is>
          <t>3-year total cost of ownership (₦)</t>
        </is>
      </c>
      <c r="B8" s="14">
        <f>IF(COUNT(B5:B7)=3,SUM(B5:B7),"")</f>
        <v/>
      </c>
      <c r="C8" s="14">
        <f>IF(COUNT(C5:C7)=3,SUM(C5:C7),"")</f>
        <v/>
      </c>
      <c r="D8" s="14">
        <f>IF(COUNT(D5:D7)=3,SUM(D5:D7),"")</f>
        <v/>
      </c>
      <c r="E8" s="14">
        <f>IF(COUNT(E5:E7)=3,SUM(E5:E7),"")</f>
        <v/>
      </c>
    </row>
    <row r="9">
      <c r="A9" s="3" t="inlineStr">
        <is>
          <t>Price score (0–5): lowest ÷ vendor × 5</t>
        </is>
      </c>
      <c r="B9" s="12">
        <f>IF(B8="","",IF(MIN($B$8:$E$8)&lt;=0,"",ROUND(MIN($B$8:$E$8)/B8*5,1)))</f>
        <v/>
      </c>
      <c r="C9" s="12">
        <f>IF(C8="","",IF(MIN($B$8:$E$8)&lt;=0,"",ROUND(MIN($B$8:$E$8)/C8*5,1)))</f>
        <v/>
      </c>
      <c r="D9" s="12">
        <f>IF(D8="","",IF(MIN($B$8:$E$8)&lt;=0,"",ROUND(MIN($B$8:$E$8)/D8*5,1)))</f>
        <v/>
      </c>
      <c r="E9" s="12">
        <f>IF(E8="","",IF(MIN($B$8:$E$8)&lt;=0,"",ROUND(MIN($B$8:$E$8)/E8*5,1)))</f>
        <v/>
      </c>
    </row>
    <row r="10">
      <c r="A10" s="3" t="inlineStr">
        <is>
          <t>Priced in US$ or other foreign currency? (Y/N)</t>
        </is>
      </c>
      <c r="B10" s="6" t="n"/>
      <c r="C10" s="6" t="n"/>
      <c r="D10" s="6" t="n"/>
      <c r="E10" s="6" t="n"/>
    </row>
    <row r="11">
      <c r="A11" s="3" t="inlineStr">
        <is>
          <t>Pricing scope comparable with other quotes? (Y/N)</t>
        </is>
      </c>
      <c r="B11" s="6" t="n"/>
      <c r="C11" s="6" t="n"/>
      <c r="D11" s="6" t="n"/>
      <c r="E11" s="6" t="n"/>
    </row>
    <row r="12">
      <c r="A12" s="3" t="inlineStr">
        <is>
          <t>Within first-year budget? (only if budget entered)</t>
        </is>
      </c>
      <c r="B12" s="15">
        <f>IF(OR($B$14="",B5=""),"",IF(B5&lt;=$B$14,"Yes","No"))</f>
        <v/>
      </c>
      <c r="C12" s="15">
        <f>IF(OR($B$14="",C5=""),"",IF(C5&lt;=$B$14,"Yes","No"))</f>
        <v/>
      </c>
      <c r="D12" s="15">
        <f>IF(OR($B$14="",D5=""),"",IF(D5&lt;=$B$14,"Yes","No"))</f>
        <v/>
      </c>
      <c r="E12" s="15">
        <f>IF(OR($B$14="",E5=""),"",IF(E5&lt;=$B$14,"Yes","No"))</f>
        <v/>
      </c>
    </row>
    <row r="13">
      <c r="A13" s="3" t="inlineStr">
        <is>
          <t>BES approved budget – management to complete (₦). INTERNAL – do not share</t>
        </is>
      </c>
    </row>
    <row r="14">
      <c r="A14" s="8" t="inlineStr">
        <is>
          <t>First-year budget (₦)</t>
        </is>
      </c>
      <c r="B14" s="13" t="n"/>
    </row>
    <row r="15">
      <c r="A15" s="8" t="inlineStr">
        <is>
          <t>Annual recurring budget (₦)</t>
        </is>
      </c>
      <c r="B15" s="13" t="n"/>
    </row>
    <row r="17" ht="60" customHeight="1">
      <c r="A17" s="4" t="inlineStr">
        <is>
          <t>Notes: price score uses MIN across vendors that have entered all three years. If scopes are not comparable, override the 'Price' criterion on the Scoring sheet manually and explain. Foreign-currency pricing: record the exchange rate and date used and consider a sensitivity check (e.g. ±20% on the exchange rate).</t>
        </is>
      </c>
      <c r="B17" s="16" t="n"/>
      <c r="C17" s="16" t="n"/>
      <c r="D17" s="16" t="n"/>
      <c r="E17" s="17" t="n"/>
    </row>
  </sheetData>
  <mergeCells count="1">
    <mergeCell ref="A17:E17"/>
  </mergeCells>
  <dataValidations count="1">
    <dataValidation sqref="B10:E11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52" customWidth="1" min="2" max="2"/>
    <col width="44" customWidth="1" min="3" max="3"/>
    <col width="13" customWidth="1" min="4" max="4"/>
    <col width="13" customWidth="1" min="5" max="5"/>
    <col width="13" customWidth="1" min="6" max="6"/>
    <col width="13" customWidth="1" min="7" max="7"/>
    <col width="40" customWidth="1" min="8" max="8"/>
  </cols>
  <sheetData>
    <row r="1">
      <c r="A1" s="1" t="inlineStr">
        <is>
          <t>Weighted criteria scoring (0–5; leave blank if information is missing)</t>
        </is>
      </c>
    </row>
    <row r="2">
      <c r="A2" s="2" t="inlineStr">
        <is>
          <t>Equal weight to each criterion within its category. Green cells are linked from other sheets; you may overwrite with a documented reason.</t>
        </is>
      </c>
    </row>
    <row r="4">
      <c r="A4" s="5" t="inlineStr">
        <is>
          <t>Category</t>
        </is>
      </c>
      <c r="B4" s="5" t="inlineStr">
        <is>
          <t>Criterion</t>
        </is>
      </c>
      <c r="C4" s="5" t="inlineStr">
        <is>
          <t>What a 3 (meets) looks like</t>
        </is>
      </c>
      <c r="D4" s="5">
        <f>Vendors!$B$4</f>
        <v/>
      </c>
      <c r="E4" s="5">
        <f>Vendors!$B$5</f>
        <v/>
      </c>
      <c r="F4" s="5">
        <f>Vendors!$B$6</f>
        <v/>
      </c>
      <c r="G4" s="5">
        <f>Vendors!$B$7</f>
        <v/>
      </c>
      <c r="H4" s="5" t="inlineStr">
        <is>
          <t>Notes / evidence / scorer initials</t>
        </is>
      </c>
    </row>
    <row r="5" ht="34" customHeight="1">
      <c r="A5" s="3" t="inlineStr">
        <is>
          <t>Functional capability</t>
        </is>
      </c>
      <c r="B5" s="4" t="inlineStr">
        <is>
          <t>Coverage of Essential requirements R1–R18 for Phase 1 (via RFQ matrix)</t>
        </is>
      </c>
      <c r="C5" s="4" t="inlineStr">
        <is>
          <t>All Phase 1 Essentials available now or via priced configuration</t>
        </is>
      </c>
      <c r="D5" s="18" t="n"/>
      <c r="E5" s="18" t="n"/>
      <c r="F5" s="18" t="n"/>
      <c r="G5" s="18" t="n"/>
      <c r="H5" s="6" t="inlineStr"/>
    </row>
    <row r="6" ht="34" customHeight="1">
      <c r="A6" s="3" t="inlineStr">
        <is>
          <t>Functional capability</t>
        </is>
      </c>
      <c r="B6" s="4" t="inlineStr">
        <is>
          <t>AI grounding, safeguards and handover</t>
        </is>
      </c>
      <c r="C6" s="4" t="inlineStr">
        <is>
          <t>Answers limited to approved content; safe fallback; handover triggers work</t>
        </is>
      </c>
      <c r="D6" s="18" t="n"/>
      <c r="E6" s="18" t="n"/>
      <c r="F6" s="18" t="n"/>
      <c r="G6" s="18" t="n"/>
      <c r="H6" s="6" t="inlineStr"/>
    </row>
    <row r="7" ht="34" customHeight="1">
      <c r="A7" s="3" t="inlineStr">
        <is>
          <t>Functional capability</t>
        </is>
      </c>
      <c r="B7" s="4" t="inlineStr">
        <is>
          <t>Document checklists, tracking and follow-ups</t>
        </is>
      </c>
      <c r="C7" s="4" t="inlineStr">
        <is>
          <t>Category-based checklists, status tracking and reminders available (Phase 2 acceptable)</t>
        </is>
      </c>
      <c r="D7" s="18" t="n"/>
      <c r="E7" s="18" t="n"/>
      <c r="F7" s="18" t="n"/>
      <c r="G7" s="18" t="n"/>
      <c r="H7" s="6" t="inlineStr"/>
    </row>
    <row r="8" ht="34" customHeight="1">
      <c r="A8" s="3" t="inlineStr">
        <is>
          <t>Functional capability</t>
        </is>
      </c>
      <c r="B8" s="4" t="inlineStr">
        <is>
          <t>CRM configurability, reporting and role fit</t>
        </is>
      </c>
      <c r="C8" s="4" t="inlineStr">
        <is>
          <t>BES can configure fields/stages/reports/roles without developers</t>
        </is>
      </c>
      <c r="D8" s="18" t="n"/>
      <c r="E8" s="18" t="n"/>
      <c r="F8" s="18" t="n"/>
      <c r="G8" s="18" t="n"/>
      <c r="H8" s="6" t="inlineStr"/>
    </row>
    <row r="9" ht="34" customHeight="1">
      <c r="A9" s="3" t="inlineStr">
        <is>
          <t>Functional capability</t>
        </is>
      </c>
      <c r="B9" s="4" t="inlineStr">
        <is>
          <t>Live demonstration performance (from Demo sheet)</t>
        </is>
      </c>
      <c r="C9" s="4" t="inlineStr">
        <is>
          <t>Most items shown live, working as specified</t>
        </is>
      </c>
      <c r="D9" s="19">
        <f>'Demo - Vendor 1'!F18</f>
        <v/>
      </c>
      <c r="E9" s="19">
        <f>'Demo - Vendor 2'!F18</f>
        <v/>
      </c>
      <c r="F9" s="18" t="n"/>
      <c r="G9" s="18" t="n"/>
      <c r="H9" s="6" t="inlineStr"/>
    </row>
    <row r="10" ht="34" customHeight="1">
      <c r="A10" s="3" t="inlineStr">
        <is>
          <t>Implementation timeline and delivery</t>
        </is>
      </c>
      <c r="B10" s="4" t="inlineStr">
        <is>
          <t>Realistic expected timeline; clock-start clearly defined</t>
        </is>
      </c>
      <c r="C10" s="4" t="inlineStr">
        <is>
          <t>Defined start event; expected dates credible; risks stated</t>
        </is>
      </c>
      <c r="D10" s="18" t="n"/>
      <c r="E10" s="18" t="n"/>
      <c r="F10" s="18" t="n"/>
      <c r="G10" s="18" t="n"/>
      <c r="H10" s="6" t="inlineStr"/>
    </row>
    <row r="11" ht="34" customHeight="1">
      <c r="A11" s="3" t="inlineStr">
        <is>
          <t>Implementation timeline and delivery</t>
        </is>
      </c>
      <c r="B11" s="4" t="inlineStr">
        <is>
          <t>Quality of plan, milestones, deliverables, acceptance criteria</t>
        </is>
      </c>
      <c r="C11" s="4" t="inlineStr">
        <is>
          <t>Clear and testable</t>
        </is>
      </c>
      <c r="D11" s="18" t="n"/>
      <c r="E11" s="18" t="n"/>
      <c r="F11" s="18" t="n"/>
      <c r="G11" s="18" t="n"/>
      <c r="H11" s="6" t="inlineStr"/>
    </row>
    <row r="12" ht="34" customHeight="1">
      <c r="A12" s="3" t="inlineStr">
        <is>
          <t>Implementation timeline and delivery</t>
        </is>
      </c>
      <c r="B12" s="4" t="inlineStr">
        <is>
          <t>Dependencies and assumptions transparent and reasonable</t>
        </is>
      </c>
      <c r="C12" s="4" t="inlineStr">
        <is>
          <t>Stated; reasonable demands on BES</t>
        </is>
      </c>
      <c r="D12" s="18" t="n"/>
      <c r="E12" s="18" t="n"/>
      <c r="F12" s="18" t="n"/>
      <c r="G12" s="18" t="n"/>
      <c r="H12" s="6" t="inlineStr"/>
    </row>
    <row r="13" ht="34" customHeight="1">
      <c r="A13" s="3" t="inlineStr">
        <is>
          <t>Implementation timeline and delivery</t>
        </is>
      </c>
      <c r="B13" s="4" t="inlineStr">
        <is>
          <t>Delivery team, capacity, change and delay handling</t>
        </is>
      </c>
      <c r="C13" s="4" t="inlineStr">
        <is>
          <t>Named PM/lead; documented procedure</t>
        </is>
      </c>
      <c r="D13" s="18" t="n"/>
      <c r="E13" s="18" t="n"/>
      <c r="F13" s="18" t="n"/>
      <c r="G13" s="18" t="n"/>
      <c r="H13" s="6" t="inlineStr"/>
    </row>
    <row r="14" ht="34" customHeight="1">
      <c r="A14" s="3" t="inlineStr">
        <is>
          <t>Total cost and value</t>
        </is>
      </c>
      <c r="B14" s="4" t="inlineStr">
        <is>
          <t>Three-year cost (price score from Cost sheet)</t>
        </is>
      </c>
      <c r="C14" s="4" t="inlineStr">
        <is>
          <t>Price-ratio score</t>
        </is>
      </c>
      <c r="D14" s="19">
        <f>Cost!B9</f>
        <v/>
      </c>
      <c r="E14" s="19">
        <f>Cost!C9</f>
        <v/>
      </c>
      <c r="F14" s="19">
        <f>Cost!D9</f>
        <v/>
      </c>
      <c r="G14" s="19">
        <f>Cost!E9</f>
        <v/>
      </c>
      <c r="H14" s="6" t="inlineStr"/>
    </row>
    <row r="15" ht="34" customHeight="1">
      <c r="A15" s="3" t="inlineStr">
        <is>
          <t>Total cost and value</t>
        </is>
      </c>
      <c r="B15" s="4" t="inlineStr">
        <is>
          <t>Pricing completeness and transparency (all 12 lines, usage, FX)</t>
        </is>
      </c>
      <c r="C15" s="4" t="inlineStr">
        <is>
          <t>All lines priced; assumptions shown</t>
        </is>
      </c>
      <c r="D15" s="18" t="n"/>
      <c r="E15" s="18" t="n"/>
      <c r="F15" s="18" t="n"/>
      <c r="G15" s="18" t="n"/>
      <c r="H15" s="6" t="inlineStr"/>
    </row>
    <row r="16" ht="34" customHeight="1">
      <c r="A16" s="3" t="inlineStr">
        <is>
          <t>Total cost and value</t>
        </is>
      </c>
      <c r="B16" s="4" t="inlineStr">
        <is>
          <t>Scalability of pricing (extra users, volume) and lock-in terms</t>
        </is>
      </c>
      <c r="C16" s="4" t="inlineStr">
        <is>
          <t>Published rates; reasonable terms</t>
        </is>
      </c>
      <c r="D16" s="18" t="n"/>
      <c r="E16" s="18" t="n"/>
      <c r="F16" s="18" t="n"/>
      <c r="G16" s="18" t="n"/>
      <c r="H16" s="6" t="inlineStr"/>
    </row>
    <row r="17" ht="34" customHeight="1">
      <c r="A17" s="3" t="inlineStr">
        <is>
          <t>Total cost and value</t>
        </is>
      </c>
      <c r="B17" s="4" t="inlineStr">
        <is>
          <t>Value for money relative to functionality delivered</t>
        </is>
      </c>
      <c r="C17" s="4" t="inlineStr">
        <is>
          <t>Fair for what is delivered</t>
        </is>
      </c>
      <c r="D17" s="18" t="n"/>
      <c r="E17" s="18" t="n"/>
      <c r="F17" s="18" t="n"/>
      <c r="G17" s="18" t="n"/>
      <c r="H17" s="6" t="inlineStr"/>
    </row>
    <row r="18" ht="34" customHeight="1">
      <c r="A18" s="3" t="inlineStr">
        <is>
          <t>Security, ownership, and data protection</t>
        </is>
      </c>
      <c r="B18" s="4" t="inlineStr">
        <is>
          <t>Data ownership, admin control and WhatsApp account ownership</t>
        </is>
      </c>
      <c r="C18" s="4" t="inlineStr">
        <is>
          <t>BES-owned accounts with BES super-admin</t>
        </is>
      </c>
      <c r="D18" s="18" t="n"/>
      <c r="E18" s="18" t="n"/>
      <c r="F18" s="18" t="n"/>
      <c r="G18" s="18" t="n"/>
      <c r="H18" s="6" t="inlineStr"/>
    </row>
    <row r="19" ht="34" customHeight="1">
      <c r="A19" s="3" t="inlineStr">
        <is>
          <t>Security, ownership, and data protection</t>
        </is>
      </c>
      <c r="B19" s="4" t="inlineStr">
        <is>
          <t>Hosting, sub-processors and AI provider data use</t>
        </is>
      </c>
      <c r="C19" s="4" t="inlineStr">
        <is>
          <t>Fully disclosed; no training on BES data</t>
        </is>
      </c>
      <c r="D19" s="18" t="n"/>
      <c r="E19" s="18" t="n"/>
      <c r="F19" s="18" t="n"/>
      <c r="G19" s="18" t="n"/>
      <c r="H19" s="6" t="inlineStr"/>
    </row>
    <row r="20" ht="34" customHeight="1">
      <c r="A20" s="3" t="inlineStr">
        <is>
          <t>Security, ownership, and data protection</t>
        </is>
      </c>
      <c r="B20" s="4" t="inlineStr">
        <is>
          <t>Security controls and evidence (encryption, MFA, audit, backup, incidents)</t>
        </is>
      </c>
      <c r="C20" s="4" t="inlineStr">
        <is>
          <t>Evidence supplied and credible</t>
        </is>
      </c>
      <c r="D20" s="18" t="n"/>
      <c r="E20" s="18" t="n"/>
      <c r="F20" s="18" t="n"/>
      <c r="G20" s="18" t="n"/>
      <c r="H20" s="6" t="inlineStr"/>
    </row>
    <row r="21" ht="34" customHeight="1">
      <c r="A21" s="3" t="inlineStr">
        <is>
          <t>Security, ownership, and data protection</t>
        </is>
      </c>
      <c r="B21" s="4" t="inlineStr">
        <is>
          <t>NDPA readiness and contract terms (DPA, breach, retention, deletion)</t>
        </is>
      </c>
      <c r="C21" s="4" t="inlineStr">
        <is>
          <t>DPA offered; process described</t>
        </is>
      </c>
      <c r="D21" s="18" t="n"/>
      <c r="E21" s="18" t="n"/>
      <c r="F21" s="18" t="n"/>
      <c r="G21" s="18" t="n"/>
      <c r="H21" s="6" t="inlineStr"/>
    </row>
    <row r="22" ht="34" customHeight="1">
      <c r="A22" s="3" t="inlineStr">
        <is>
          <t>Security, ownership, and data protection</t>
        </is>
      </c>
      <c r="B22" s="4" t="inlineStr">
        <is>
          <t>Data portability and exit</t>
        </is>
      </c>
      <c r="C22" s="4" t="inlineStr">
        <is>
          <t>Full export; defined exit</t>
        </is>
      </c>
      <c r="D22" s="18" t="n"/>
      <c r="E22" s="18" t="n"/>
      <c r="F22" s="18" t="n"/>
      <c r="G22" s="18" t="n"/>
      <c r="H22" s="6" t="inlineStr"/>
    </row>
    <row r="23" ht="34" customHeight="1">
      <c r="A23" s="3" t="inlineStr">
        <is>
          <t>Relevant experience and references</t>
        </is>
      </c>
      <c r="B23" s="4" t="inlineStr">
        <is>
          <t>Relevant projects (WhatsApp + CRM + AI)</t>
        </is>
      </c>
      <c r="C23" s="4" t="inlineStr">
        <is>
          <t>At least one comparable project</t>
        </is>
      </c>
      <c r="D23" s="18" t="n"/>
      <c r="E23" s="18" t="n"/>
      <c r="F23" s="18" t="n"/>
      <c r="G23" s="18" t="n"/>
      <c r="H23" s="6" t="inlineStr"/>
    </row>
    <row r="24" ht="34" customHeight="1">
      <c r="A24" s="3" t="inlineStr">
        <is>
          <t>Relevant experience and references</t>
        </is>
      </c>
      <c r="B24" s="4" t="inlineStr">
        <is>
          <t>Nigerian / African market experience</t>
        </is>
      </c>
      <c r="C24" s="4" t="inlineStr">
        <is>
          <t>Present in market</t>
        </is>
      </c>
      <c r="D24" s="18" t="n"/>
      <c r="E24" s="18" t="n"/>
      <c r="F24" s="18" t="n"/>
      <c r="G24" s="18" t="n"/>
      <c r="H24" s="6" t="inlineStr"/>
    </row>
    <row r="25" ht="34" customHeight="1">
      <c r="A25" s="3" t="inlineStr">
        <is>
          <t>Relevant experience and references</t>
        </is>
      </c>
      <c r="B25" s="4" t="inlineStr">
        <is>
          <t>Reference check results</t>
        </is>
      </c>
      <c r="C25" s="4" t="inlineStr">
        <is>
          <t>Positive, relevant references</t>
        </is>
      </c>
      <c r="D25" s="18" t="n"/>
      <c r="E25" s="18" t="n"/>
      <c r="F25" s="18" t="n"/>
      <c r="G25" s="18" t="n"/>
      <c r="H25" s="6" t="inlineStr"/>
    </row>
    <row r="26" ht="34" customHeight="1">
      <c r="A26" s="3" t="inlineStr">
        <is>
          <t>Relevant experience and references</t>
        </is>
      </c>
      <c r="B26" s="4" t="inlineStr">
        <is>
          <t>Company credibility and stability</t>
        </is>
      </c>
      <c r="C26" s="4" t="inlineStr">
        <is>
          <t>Verifiable company and team</t>
        </is>
      </c>
      <c r="D26" s="18" t="n"/>
      <c r="E26" s="18" t="n"/>
      <c r="F26" s="18" t="n"/>
      <c r="G26" s="18" t="n"/>
      <c r="H26" s="6" t="inlineStr"/>
    </row>
    <row r="27" ht="34" customHeight="1">
      <c r="A27" s="3" t="inlineStr">
        <is>
          <t>Support and operational suitability</t>
        </is>
      </c>
      <c r="B27" s="4" t="inlineStr">
        <is>
          <t>Support hours, SLA and local presence</t>
        </is>
      </c>
      <c r="C27" s="4" t="inlineStr">
        <is>
          <t>Hours and response times fit BES</t>
        </is>
      </c>
      <c r="D27" s="18" t="n"/>
      <c r="E27" s="18" t="n"/>
      <c r="F27" s="18" t="n"/>
      <c r="G27" s="18" t="n"/>
      <c r="H27" s="6" t="inlineStr"/>
    </row>
    <row r="28" ht="34" customHeight="1">
      <c r="A28" s="3" t="inlineStr">
        <is>
          <t>Support and operational suitability</t>
        </is>
      </c>
      <c r="B28" s="4" t="inlineStr">
        <is>
          <t>Training approach and materials</t>
        </is>
      </c>
      <c r="C28" s="4" t="inlineStr">
        <is>
          <t>Role-based training provided</t>
        </is>
      </c>
      <c r="D28" s="18" t="n"/>
      <c r="E28" s="18" t="n"/>
      <c r="F28" s="18" t="n"/>
      <c r="G28" s="18" t="n"/>
      <c r="H28" s="6" t="inlineStr"/>
    </row>
    <row r="29" ht="34" customHeight="1">
      <c r="A29" s="3" t="inlineStr">
        <is>
          <t>Support and operational suitability</t>
        </is>
      </c>
      <c r="B29" s="4" t="inlineStr">
        <is>
          <t>Ongoing maintenance, account management and roadmap</t>
        </is>
      </c>
      <c r="C29" s="4" t="inlineStr">
        <is>
          <t>Defined and fair</t>
        </is>
      </c>
      <c r="D29" s="18" t="n"/>
      <c r="E29" s="18" t="n"/>
      <c r="F29" s="18" t="n"/>
      <c r="G29" s="18" t="n"/>
      <c r="H29" s="6" t="inlineStr"/>
    </row>
  </sheetData>
  <conditionalFormatting sqref="D5:G29">
    <cfRule type="expression" priority="1" dxfId="0">
      <formula>AND(D5&lt;&gt;"",D5&lt;=1)</formula>
    </cfRule>
  </conditionalFormatting>
  <dataValidations count="1">
    <dataValidation sqref="D5:G29" showDropDown="0" showInputMessage="0" showErrorMessage="0" allowBlank="1" type="decimal" operator="between">
      <formula1>0</formula1>
      <formula2>5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58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Results summary</t>
        </is>
      </c>
    </row>
    <row r="2">
      <c r="A2" s="2" t="inlineStr">
        <is>
          <t>Weighted score is out of 100 and uses only criteria that have been scored. Read it together with completeness and gate status.</t>
        </is>
      </c>
    </row>
    <row r="4">
      <c r="A4" s="5" t="inlineStr">
        <is>
          <t>Measure</t>
        </is>
      </c>
      <c r="B4" s="5">
        <f>Vendors!$B$4</f>
        <v/>
      </c>
      <c r="C4" s="5">
        <f>Vendors!$B$5</f>
        <v/>
      </c>
      <c r="D4" s="5">
        <f>Vendors!$B$6</f>
        <v/>
      </c>
      <c r="E4" s="5">
        <f>Vendors!$B$7</f>
        <v/>
      </c>
    </row>
    <row r="5">
      <c r="A5" s="3" t="inlineStr">
        <is>
          <t>Mandatory gate result</t>
        </is>
      </c>
      <c r="B5" s="10">
        <f>Gates!D13</f>
        <v/>
      </c>
      <c r="C5" s="10">
        <f>Gates!E13</f>
        <v/>
      </c>
      <c r="D5" s="10">
        <f>Gates!F13</f>
        <v/>
      </c>
      <c r="E5" s="10">
        <f>Gates!G13</f>
        <v/>
      </c>
    </row>
    <row r="6">
      <c r="A6" s="3" t="inlineStr">
        <is>
          <t>Completeness (criteria scored ÷ total)</t>
        </is>
      </c>
      <c r="B6" s="20">
        <f>COUNT(Scoring!D5:D29)/25</f>
        <v/>
      </c>
      <c r="C6" s="20">
        <f>COUNT(Scoring!E5:E29)/25</f>
        <v/>
      </c>
      <c r="D6" s="20">
        <f>COUNT(Scoring!F5:F29)/25</f>
        <v/>
      </c>
      <c r="E6" s="20">
        <f>COUNT(Scoring!G5:G29)/25</f>
        <v/>
      </c>
    </row>
    <row r="7">
      <c r="A7" s="3">
        <f>"Avg 0–5: "&amp;Vendors!A11&amp;" ("&amp;TEXT(Vendors!B11,"0%")&amp;")"</f>
        <v/>
      </c>
      <c r="B7" s="21">
        <f>IF(COUNT(Scoring!D5:D9)=0,"",ROUND(AVERAGE(Scoring!D5:D9),2))</f>
        <v/>
      </c>
      <c r="C7" s="21">
        <f>IF(COUNT(Scoring!E5:E9)=0,"",ROUND(AVERAGE(Scoring!E5:E9),2))</f>
        <v/>
      </c>
      <c r="D7" s="21">
        <f>IF(COUNT(Scoring!F5:F9)=0,"",ROUND(AVERAGE(Scoring!F5:F9),2))</f>
        <v/>
      </c>
      <c r="E7" s="21">
        <f>IF(COUNT(Scoring!G5:G9)=0,"",ROUND(AVERAGE(Scoring!G5:G9),2))</f>
        <v/>
      </c>
    </row>
    <row r="8">
      <c r="A8" s="3">
        <f>"Avg 0–5: "&amp;Vendors!A12&amp;" ("&amp;TEXT(Vendors!B12,"0%")&amp;")"</f>
        <v/>
      </c>
      <c r="B8" s="21">
        <f>IF(COUNT(Scoring!D10:D13)=0,"",ROUND(AVERAGE(Scoring!D10:D13),2))</f>
        <v/>
      </c>
      <c r="C8" s="21">
        <f>IF(COUNT(Scoring!E10:E13)=0,"",ROUND(AVERAGE(Scoring!E10:E13),2))</f>
        <v/>
      </c>
      <c r="D8" s="21">
        <f>IF(COUNT(Scoring!F10:F13)=0,"",ROUND(AVERAGE(Scoring!F10:F13),2))</f>
        <v/>
      </c>
      <c r="E8" s="21">
        <f>IF(COUNT(Scoring!G10:G13)=0,"",ROUND(AVERAGE(Scoring!G10:G13),2))</f>
        <v/>
      </c>
    </row>
    <row r="9">
      <c r="A9" s="3">
        <f>"Avg 0–5: "&amp;Vendors!A13&amp;" ("&amp;TEXT(Vendors!B13,"0%")&amp;")"</f>
        <v/>
      </c>
      <c r="B9" s="21">
        <f>IF(COUNT(Scoring!D14:D17)=0,"",ROUND(AVERAGE(Scoring!D14:D17),2))</f>
        <v/>
      </c>
      <c r="C9" s="21">
        <f>IF(COUNT(Scoring!E14:E17)=0,"",ROUND(AVERAGE(Scoring!E14:E17),2))</f>
        <v/>
      </c>
      <c r="D9" s="21">
        <f>IF(COUNT(Scoring!F14:F17)=0,"",ROUND(AVERAGE(Scoring!F14:F17),2))</f>
        <v/>
      </c>
      <c r="E9" s="21">
        <f>IF(COUNT(Scoring!G14:G17)=0,"",ROUND(AVERAGE(Scoring!G14:G17),2))</f>
        <v/>
      </c>
    </row>
    <row r="10">
      <c r="A10" s="3">
        <f>"Avg 0–5: "&amp;Vendors!A14&amp;" ("&amp;TEXT(Vendors!B14,"0%")&amp;")"</f>
        <v/>
      </c>
      <c r="B10" s="21">
        <f>IF(COUNT(Scoring!D18:D22)=0,"",ROUND(AVERAGE(Scoring!D18:D22),2))</f>
        <v/>
      </c>
      <c r="C10" s="21">
        <f>IF(COUNT(Scoring!E18:E22)=0,"",ROUND(AVERAGE(Scoring!E18:E22),2))</f>
        <v/>
      </c>
      <c r="D10" s="21">
        <f>IF(COUNT(Scoring!F18:F22)=0,"",ROUND(AVERAGE(Scoring!F18:F22),2))</f>
        <v/>
      </c>
      <c r="E10" s="21">
        <f>IF(COUNT(Scoring!G18:G22)=0,"",ROUND(AVERAGE(Scoring!G18:G22),2))</f>
        <v/>
      </c>
    </row>
    <row r="11">
      <c r="A11" s="3">
        <f>"Avg 0–5: "&amp;Vendors!A15&amp;" ("&amp;TEXT(Vendors!B15,"0%")&amp;")"</f>
        <v/>
      </c>
      <c r="B11" s="21">
        <f>IF(COUNT(Scoring!D23:D26)=0,"",ROUND(AVERAGE(Scoring!D23:D26),2))</f>
        <v/>
      </c>
      <c r="C11" s="21">
        <f>IF(COUNT(Scoring!E23:E26)=0,"",ROUND(AVERAGE(Scoring!E23:E26),2))</f>
        <v/>
      </c>
      <c r="D11" s="21">
        <f>IF(COUNT(Scoring!F23:F26)=0,"",ROUND(AVERAGE(Scoring!F23:F26),2))</f>
        <v/>
      </c>
      <c r="E11" s="21">
        <f>IF(COUNT(Scoring!G23:G26)=0,"",ROUND(AVERAGE(Scoring!G23:G26),2))</f>
        <v/>
      </c>
    </row>
    <row r="12">
      <c r="A12" s="3">
        <f>"Avg 0–5: "&amp;Vendors!A16&amp;" ("&amp;TEXT(Vendors!B16,"0%")&amp;")"</f>
        <v/>
      </c>
      <c r="B12" s="21">
        <f>IF(COUNT(Scoring!D27:D29)=0,"",ROUND(AVERAGE(Scoring!D27:D29),2))</f>
        <v/>
      </c>
      <c r="C12" s="21">
        <f>IF(COUNT(Scoring!E27:E29)=0,"",ROUND(AVERAGE(Scoring!E27:E29),2))</f>
        <v/>
      </c>
      <c r="D12" s="21">
        <f>IF(COUNT(Scoring!F27:F29)=0,"",ROUND(AVERAGE(Scoring!F27:F29),2))</f>
        <v/>
      </c>
      <c r="E12" s="21">
        <f>IF(COUNT(Scoring!G27:G29)=0,"",ROUND(AVERAGE(Scoring!G27:G29),2))</f>
        <v/>
      </c>
    </row>
    <row r="13">
      <c r="A13" s="3" t="inlineStr">
        <is>
          <t>Weighted score /100 (available information only)</t>
        </is>
      </c>
      <c r="B13" s="12">
        <f>IF((IF(B7="",0,Vendors!$B$11)+IF(B8="",0,Vendors!$B$12)+IF(B9="",0,Vendors!$B$13)+IF(B10="",0,Vendors!$B$14)+IF(B11="",0,Vendors!$B$15)+IF(B12="",0,Vendors!$B$16))=0,"",ROUND((IF(B7="",0,B7/5*Vendors!$B$11)+IF(B8="",0,B8/5*Vendors!$B$12)+IF(B9="",0,B9/5*Vendors!$B$13)+IF(B10="",0,B10/5*Vendors!$B$14)+IF(B11="",0,B11/5*Vendors!$B$15)+IF(B12="",0,B12/5*Vendors!$B$16))/(IF(B7="",0,Vendors!$B$11)+IF(B8="",0,Vendors!$B$12)+IF(B9="",0,Vendors!$B$13)+IF(B10="",0,Vendors!$B$14)+IF(B11="",0,Vendors!$B$15)+IF(B12="",0,Vendors!$B$16))*100,1))</f>
        <v/>
      </c>
      <c r="C13" s="12">
        <f>IF((IF(C7="",0,Vendors!$B$11)+IF(C8="",0,Vendors!$B$12)+IF(C9="",0,Vendors!$B$13)+IF(C10="",0,Vendors!$B$14)+IF(C11="",0,Vendors!$B$15)+IF(C12="",0,Vendors!$B$16))=0,"",ROUND((IF(C7="",0,C7/5*Vendors!$B$11)+IF(C8="",0,C8/5*Vendors!$B$12)+IF(C9="",0,C9/5*Vendors!$B$13)+IF(C10="",0,C10/5*Vendors!$B$14)+IF(C11="",0,C11/5*Vendors!$B$15)+IF(C12="",0,C12/5*Vendors!$B$16))/(IF(C7="",0,Vendors!$B$11)+IF(C8="",0,Vendors!$B$12)+IF(C9="",0,Vendors!$B$13)+IF(C10="",0,Vendors!$B$14)+IF(C11="",0,Vendors!$B$15)+IF(C12="",0,Vendors!$B$16))*100,1))</f>
        <v/>
      </c>
      <c r="D13" s="12">
        <f>IF((IF(D7="",0,Vendors!$B$11)+IF(D8="",0,Vendors!$B$12)+IF(D9="",0,Vendors!$B$13)+IF(D10="",0,Vendors!$B$14)+IF(D11="",0,Vendors!$B$15)+IF(D12="",0,Vendors!$B$16))=0,"",ROUND((IF(D7="",0,D7/5*Vendors!$B$11)+IF(D8="",0,D8/5*Vendors!$B$12)+IF(D9="",0,D9/5*Vendors!$B$13)+IF(D10="",0,D10/5*Vendors!$B$14)+IF(D11="",0,D11/5*Vendors!$B$15)+IF(D12="",0,D12/5*Vendors!$B$16))/(IF(D7="",0,Vendors!$B$11)+IF(D8="",0,Vendors!$B$12)+IF(D9="",0,Vendors!$B$13)+IF(D10="",0,Vendors!$B$14)+IF(D11="",0,Vendors!$B$15)+IF(D12="",0,Vendors!$B$16))*100,1))</f>
        <v/>
      </c>
      <c r="E13" s="12">
        <f>IF((IF(E7="",0,Vendors!$B$11)+IF(E8="",0,Vendors!$B$12)+IF(E9="",0,Vendors!$B$13)+IF(E10="",0,Vendors!$B$14)+IF(E11="",0,Vendors!$B$15)+IF(E12="",0,Vendors!$B$16))=0,"",ROUND((IF(E7="",0,E7/5*Vendors!$B$11)+IF(E8="",0,E8/5*Vendors!$B$12)+IF(E9="",0,E9/5*Vendors!$B$13)+IF(E10="",0,E10/5*Vendors!$B$14)+IF(E11="",0,E11/5*Vendors!$B$15)+IF(E12="",0,E12/5*Vendors!$B$16))/(IF(E7="",0,Vendors!$B$11)+IF(E8="",0,Vendors!$B$12)+IF(E9="",0,Vendors!$B$13)+IF(E10="",0,Vendors!$B$14)+IF(E11="",0,Vendors!$B$15)+IF(E12="",0,Vendors!$B$16))*100,1))</f>
        <v/>
      </c>
    </row>
    <row r="14">
      <c r="A14" s="3" t="inlineStr">
        <is>
          <t>Categories with no scores yet</t>
        </is>
      </c>
      <c r="B14" s="15">
        <f>COUNTBLANK(B7:B12)</f>
        <v/>
      </c>
      <c r="C14" s="15">
        <f>COUNTBLANK(C7:C12)</f>
        <v/>
      </c>
      <c r="D14" s="15">
        <f>COUNTBLANK(D7:D12)</f>
        <v/>
      </c>
      <c r="E14" s="15">
        <f>COUNTBLANK(E7:E12)</f>
        <v/>
      </c>
    </row>
    <row r="15">
      <c r="A15" s="3" t="inlineStr">
        <is>
          <t>Status</t>
        </is>
      </c>
      <c r="B15" s="10">
        <f>IF(B5="FAIL","Excluded – failed mandatory gate",IF(B6&lt;Vendors!$B$19,"Insufficient information – follow up before ranking",IF(B5&lt;&gt;"PASS","Gates pending – provisional only","Eligible for ranking")))</f>
        <v/>
      </c>
      <c r="C15" s="10">
        <f>IF(C5="FAIL","Excluded – failed mandatory gate",IF(C6&lt;Vendors!$B$19,"Insufficient information – follow up before ranking",IF(C5&lt;&gt;"PASS","Gates pending – provisional only","Eligible for ranking")))</f>
        <v/>
      </c>
      <c r="D15" s="10">
        <f>IF(D5="FAIL","Excluded – failed mandatory gate",IF(D6&lt;Vendors!$B$19,"Insufficient information – follow up before ranking",IF(D5&lt;&gt;"PASS","Gates pending – provisional only","Eligible for ranking")))</f>
        <v/>
      </c>
      <c r="E15" s="10">
        <f>IF(E5="FAIL","Excluded – failed mandatory gate",IF(E6&lt;Vendors!$B$19,"Insufficient information – follow up before ranking",IF(E5&lt;&gt;"PASS","Gates pending – provisional only","Eligible for ranking")))</f>
        <v/>
      </c>
    </row>
    <row r="16">
      <c r="A16" s="3" t="inlineStr">
        <is>
          <t>Ranking score (eligible vendors only)</t>
        </is>
      </c>
      <c r="B16" s="12">
        <f>IF(B15="Eligible for ranking",B13,"")</f>
        <v/>
      </c>
      <c r="C16" s="12">
        <f>IF(C15="Eligible for ranking",C13,"")</f>
        <v/>
      </c>
      <c r="D16" s="12">
        <f>IF(D15="Eligible for ranking",D13,"")</f>
        <v/>
      </c>
      <c r="E16" s="12">
        <f>IF(E15="Eligible for ranking",E13,"")</f>
        <v/>
      </c>
    </row>
    <row r="17">
      <c r="A17" s="3" t="inlineStr">
        <is>
          <t>Rank</t>
        </is>
      </c>
      <c r="B17" s="10">
        <f>IF(B16="","",RANK(B16,$B$16:$E$16))</f>
        <v/>
      </c>
      <c r="C17" s="10">
        <f>IF(C16="","",RANK(C16,$B$16:$E$16))</f>
        <v/>
      </c>
      <c r="D17" s="10">
        <f>IF(D16="","",RANK(D16,$B$16:$E$16))</f>
        <v/>
      </c>
      <c r="E17" s="10">
        <f>IF(E16="","",RANK(E16,$B$16:$E$16))</f>
        <v/>
      </c>
    </row>
    <row r="19" ht="48" customHeight="1">
      <c r="A19" s="4" t="inlineStr">
        <is>
          <t>Sensitivity check: reviewers should re-run with weights changed ±5 points on Cost and Functional to see whether the ranking is stable; if not, treat vendors as comparable and decide on risk, evidence and references.</t>
        </is>
      </c>
      <c r="B19" s="16" t="n"/>
      <c r="C19" s="16" t="n"/>
      <c r="D19" s="16" t="n"/>
      <c r="E19" s="17" t="n"/>
    </row>
  </sheetData>
  <mergeCells count="1">
    <mergeCell ref="A19:E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30" customWidth="1" min="3" max="3"/>
    <col width="48" customWidth="1" min="4" max="4"/>
    <col width="14" customWidth="1" min="5" max="5"/>
    <col width="16" customWidth="1" min="6" max="6"/>
    <col width="12" customWidth="1" min="7" max="7"/>
    <col width="22" customWidth="1" min="8" max="8"/>
    <col width="40" customWidth="1" min="9" max="9"/>
  </cols>
  <sheetData>
    <row r="1">
      <c r="A1" s="1" t="inlineStr">
        <is>
          <t>Missing information and follow-up log</t>
        </is>
      </c>
    </row>
    <row r="2">
      <c r="A2" s="2" t="inlineStr">
        <is>
          <t>Log every blank score, Pending gate and unverified claim. Do not leave them as zero.</t>
        </is>
      </c>
    </row>
    <row r="4">
      <c r="A4" s="5" t="inlineStr">
        <is>
          <t>#</t>
        </is>
      </c>
      <c r="B4" s="5" t="inlineStr">
        <is>
          <t>Vendor</t>
        </is>
      </c>
      <c r="C4" s="5" t="inlineStr">
        <is>
          <t>Criterion / gate</t>
        </is>
      </c>
      <c r="D4" s="5" t="inlineStr">
        <is>
          <t>Information or evidence needed</t>
        </is>
      </c>
      <c r="E4" s="5" t="inlineStr">
        <is>
          <t>Requested on</t>
        </is>
      </c>
      <c r="F4" s="5" t="inlineStr">
        <is>
          <t>Owner</t>
        </is>
      </c>
      <c r="G4" s="5" t="inlineStr">
        <is>
          <t>Due</t>
        </is>
      </c>
      <c r="H4" s="5" t="inlineStr">
        <is>
          <t>Status (Open / Received / Not provided)</t>
        </is>
      </c>
      <c r="I4" s="5" t="inlineStr">
        <is>
          <t>Outcome / effect on score</t>
        </is>
      </c>
    </row>
    <row r="5">
      <c r="A5" s="4" t="n">
        <v>1</v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4" t="n">
        <v>2</v>
      </c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4" t="n">
        <v>3</v>
      </c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A8" s="4" t="n">
        <v>4</v>
      </c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4" t="n">
        <v>5</v>
      </c>
      <c r="B9" s="6" t="n"/>
      <c r="C9" s="6" t="n"/>
      <c r="D9" s="6" t="n"/>
      <c r="E9" s="6" t="n"/>
      <c r="F9" s="6" t="n"/>
      <c r="G9" s="6" t="n"/>
      <c r="H9" s="6" t="n"/>
      <c r="I9" s="6" t="n"/>
    </row>
    <row r="10">
      <c r="A10" s="4" t="n">
        <v>6</v>
      </c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4" t="n">
        <v>7</v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4" t="n">
        <v>8</v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4" t="n">
        <v>9</v>
      </c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4" t="n">
        <v>10</v>
      </c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4" t="n">
        <v>11</v>
      </c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4" t="n">
        <v>12</v>
      </c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4" t="n">
        <v>13</v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4" t="n">
        <v>14</v>
      </c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4" t="n">
        <v>15</v>
      </c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4" t="n">
        <v>16</v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4" t="n">
        <v>17</v>
      </c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4" t="n">
        <v>18</v>
      </c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4" t="n">
        <v>19</v>
      </c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4" t="n">
        <v>20</v>
      </c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4" t="n">
        <v>21</v>
      </c>
      <c r="B25" s="6" t="n"/>
      <c r="C25" s="6" t="n"/>
      <c r="D25" s="6" t="n"/>
      <c r="E25" s="6" t="n"/>
      <c r="F25" s="6" t="n"/>
      <c r="G25" s="6" t="n"/>
      <c r="H25" s="6" t="n"/>
      <c r="I25" s="6" t="n"/>
    </row>
    <row r="26">
      <c r="A26" s="4" t="n">
        <v>22</v>
      </c>
      <c r="B26" s="6" t="n"/>
      <c r="C26" s="6" t="n"/>
      <c r="D26" s="6" t="n"/>
      <c r="E26" s="6" t="n"/>
      <c r="F26" s="6" t="n"/>
      <c r="G26" s="6" t="n"/>
      <c r="H26" s="6" t="n"/>
      <c r="I26" s="6" t="n"/>
    </row>
    <row r="27">
      <c r="A27" s="4" t="n">
        <v>23</v>
      </c>
      <c r="B27" s="6" t="n"/>
      <c r="C27" s="6" t="n"/>
      <c r="D27" s="6" t="n"/>
      <c r="E27" s="6" t="n"/>
      <c r="F27" s="6" t="n"/>
      <c r="G27" s="6" t="n"/>
      <c r="H27" s="6" t="n"/>
      <c r="I27" s="6" t="n"/>
    </row>
    <row r="28">
      <c r="A28" s="4" t="n">
        <v>24</v>
      </c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4" t="n">
        <v>25</v>
      </c>
      <c r="B29" s="6" t="n"/>
      <c r="C29" s="6" t="n"/>
      <c r="D29" s="6" t="n"/>
      <c r="E29" s="6" t="n"/>
      <c r="F29" s="6" t="n"/>
      <c r="G29" s="6" t="n"/>
      <c r="H29" s="6" t="n"/>
      <c r="I29" s="6" t="n"/>
    </row>
    <row r="30">
      <c r="A30" s="4" t="n">
        <v>26</v>
      </c>
      <c r="B30" s="6" t="n"/>
      <c r="C30" s="6" t="n"/>
      <c r="D30" s="6" t="n"/>
      <c r="E30" s="6" t="n"/>
      <c r="F30" s="6" t="n"/>
      <c r="G30" s="6" t="n"/>
      <c r="H30" s="6" t="n"/>
      <c r="I30" s="6" t="n"/>
    </row>
    <row r="31">
      <c r="A31" s="4" t="n">
        <v>27</v>
      </c>
      <c r="B31" s="6" t="n"/>
      <c r="C31" s="6" t="n"/>
      <c r="D31" s="6" t="n"/>
      <c r="E31" s="6" t="n"/>
      <c r="F31" s="6" t="n"/>
      <c r="G31" s="6" t="n"/>
      <c r="H31" s="6" t="n"/>
      <c r="I31" s="6" t="n"/>
    </row>
    <row r="32">
      <c r="A32" s="4" t="n">
        <v>28</v>
      </c>
      <c r="B32" s="6" t="n"/>
      <c r="C32" s="6" t="n"/>
      <c r="D32" s="6" t="n"/>
      <c r="E32" s="6" t="n"/>
      <c r="F32" s="6" t="n"/>
      <c r="G32" s="6" t="n"/>
      <c r="H32" s="6" t="n"/>
      <c r="I32" s="6" t="n"/>
    </row>
    <row r="33">
      <c r="A33" s="4" t="n">
        <v>29</v>
      </c>
      <c r="B33" s="6" t="n"/>
      <c r="C33" s="6" t="n"/>
      <c r="D33" s="6" t="n"/>
      <c r="E33" s="6" t="n"/>
      <c r="F33" s="6" t="n"/>
      <c r="G33" s="6" t="n"/>
      <c r="H33" s="6" t="n"/>
      <c r="I33" s="6" t="n"/>
    </row>
    <row r="34">
      <c r="A34" s="4" t="n">
        <v>30</v>
      </c>
      <c r="B34" s="6" t="n"/>
      <c r="C34" s="6" t="n"/>
      <c r="D34" s="6" t="n"/>
      <c r="E34" s="6" t="n"/>
      <c r="F34" s="6" t="n"/>
      <c r="G34" s="6" t="n"/>
      <c r="H34" s="6" t="n"/>
      <c r="I34" s="6" t="n"/>
    </row>
    <row r="35">
      <c r="A35" s="4" t="n">
        <v>31</v>
      </c>
      <c r="B35" s="6" t="n"/>
      <c r="C35" s="6" t="n"/>
      <c r="D35" s="6" t="n"/>
      <c r="E35" s="6" t="n"/>
      <c r="F35" s="6" t="n"/>
      <c r="G35" s="6" t="n"/>
      <c r="H35" s="6" t="n"/>
      <c r="I35" s="6" t="n"/>
    </row>
    <row r="36">
      <c r="A36" s="4" t="n">
        <v>32</v>
      </c>
      <c r="B36" s="6" t="n"/>
      <c r="C36" s="6" t="n"/>
      <c r="D36" s="6" t="n"/>
      <c r="E36" s="6" t="n"/>
      <c r="F36" s="6" t="n"/>
      <c r="G36" s="6" t="n"/>
      <c r="H36" s="6" t="n"/>
      <c r="I36" s="6" t="n"/>
    </row>
    <row r="37">
      <c r="A37" s="4" t="n">
        <v>33</v>
      </c>
      <c r="B37" s="6" t="n"/>
      <c r="C37" s="6" t="n"/>
      <c r="D37" s="6" t="n"/>
      <c r="E37" s="6" t="n"/>
      <c r="F37" s="6" t="n"/>
      <c r="G37" s="6" t="n"/>
      <c r="H37" s="6" t="n"/>
      <c r="I37" s="6" t="n"/>
    </row>
    <row r="38">
      <c r="A38" s="4" t="n">
        <v>34</v>
      </c>
      <c r="B38" s="6" t="n"/>
      <c r="C38" s="6" t="n"/>
      <c r="D38" s="6" t="n"/>
      <c r="E38" s="6" t="n"/>
      <c r="F38" s="6" t="n"/>
      <c r="G38" s="6" t="n"/>
      <c r="H38" s="6" t="n"/>
      <c r="I38" s="6" t="n"/>
    </row>
    <row r="39">
      <c r="A39" s="4" t="n">
        <v>35</v>
      </c>
      <c r="B39" s="6" t="n"/>
      <c r="C39" s="6" t="n"/>
      <c r="D39" s="6" t="n"/>
      <c r="E39" s="6" t="n"/>
      <c r="F39" s="6" t="n"/>
      <c r="G39" s="6" t="n"/>
      <c r="H39" s="6" t="n"/>
      <c r="I39" s="6" t="n"/>
    </row>
  </sheetData>
  <dataValidations count="1">
    <dataValidation sqref="H5:H39" showDropDown="0" showInputMessage="0" showErrorMessage="0" allowBlank="1" type="list">
      <formula1>"Open,Received,Not provided"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2026-10-26T15:38:47Z</dcterms:created>
  <dcterms:modified xmlns:dcterms="http://purl.org/dc/terms/" xmlns:xsi="http://www.w3.org/2001/XMLSchema-instance" xsi:type="dcterms:W3CDTF">2026-10-26T15:38:47Z</dcterms:modified>
</cp:coreProperties>
</file>